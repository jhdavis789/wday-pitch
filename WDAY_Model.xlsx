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Forecast_AI" sheetId="4" state="visible" r:id="rId4"/>
    <sheet xmlns:r="http://schemas.openxmlformats.org/officeDocument/2006/relationships" name="Forecast_Cash" sheetId="5" state="visible" r:id="rId5"/>
    <sheet xmlns:r="http://schemas.openxmlformats.org/officeDocument/2006/relationships" name="Forecast_Bear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TSR" sheetId="9" state="visible" r:id="rId9"/>
    <sheet xmlns:r="http://schemas.openxmlformats.org/officeDocument/2006/relationships" name="Drivers" sheetId="10" state="visible" r:id="rId10"/>
    <sheet xmlns:r="http://schemas.openxmlformats.org/officeDocument/2006/relationships" name="Sens_SBC" sheetId="11" state="visible" r:id="rId11"/>
    <sheet xmlns:r="http://schemas.openxmlformats.org/officeDocument/2006/relationships" name="Sens_Growth" sheetId="12" state="visible" r:id="rId12"/>
    <sheet xmlns:r="http://schemas.openxmlformats.org/officeDocument/2006/relationships" name="Sens_Pricing" sheetId="13" state="visible" r:id="rId13"/>
    <sheet xmlns:r="http://schemas.openxmlformats.org/officeDocument/2006/relationships" name="Revenue_Build" sheetId="14" state="visible" r:id="rId14"/>
    <sheet xmlns:r="http://schemas.openxmlformats.org/officeDocument/2006/relationships" name="AI_Deferred" sheetId="15" state="visible" r:id="rId15"/>
    <sheet xmlns:r="http://schemas.openxmlformats.org/officeDocument/2006/relationships" name="3Stmt_AI" sheetId="16" state="visible" r:id="rId16"/>
    <sheet xmlns:r="http://schemas.openxmlformats.org/officeDocument/2006/relationships" name="3Stmt_Cash" sheetId="17" state="visible" r:id="rId17"/>
    <sheet xmlns:r="http://schemas.openxmlformats.org/officeDocument/2006/relationships" name="3Stmt_Bear" sheetId="18" state="visible" r:id="rId18"/>
    <sheet xmlns:r="http://schemas.openxmlformats.org/officeDocument/2006/relationships" name="Unit_Economic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$#,##0.00"/>
    <numFmt numFmtId="165" formatCode="0.0%"/>
    <numFmt numFmtId="166" formatCode="0.0&quot;x&quot;"/>
    <numFmt numFmtId="167" formatCode="0&quot;x&quot;"/>
    <numFmt numFmtId="168" formatCode="#,##0.0"/>
    <numFmt numFmtId="169" formatCode="&quot;$&quot;#,##0.00"/>
    <numFmt numFmtId="170" formatCode="&quot;$&quot;#,##0"/>
    <numFmt numFmtId="171" formatCode="#,##0;(#,##0)"/>
    <numFmt numFmtId="172" formatCode="+0.0%;-0.0%;0.0%"/>
    <numFmt numFmtId="173" formatCode="&quot;$&quot;#,##0.00;(&quot;$&quot;#,##0.00)"/>
    <numFmt numFmtId="174" formatCode="+#,##0;-#,##0"/>
    <numFmt numFmtId="175" formatCode="+#,##0;-#,##0;0"/>
  </numFmts>
  <fonts count="6">
    <font>
      <name val="Calibri"/>
      <family val="2"/>
      <color theme="1"/>
      <sz val="11"/>
      <scheme val="minor"/>
    </font>
    <font>
      <b val="1"/>
      <color rgb="0000294b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0294b"/>
      </patternFill>
    </fill>
    <fill>
      <patternFill patternType="solid">
        <fgColor rgb="00f1f1f1"/>
      </patternFill>
    </fill>
    <fill>
      <patternFill patternType="solid">
        <fgColor rgb="00def5ff"/>
      </patternFill>
    </fill>
    <fill>
      <patternFill patternType="solid">
        <fgColor rgb="00007e6c"/>
      </patternFill>
    </fill>
    <fill>
      <patternFill patternType="solid">
        <fgColor rgb="00a6256e"/>
      </patternFill>
    </fill>
    <fill>
      <patternFill patternType="solid">
        <fgColor rgb="00e6f4f1"/>
      </patternFill>
    </fill>
    <fill>
      <patternFill patternType="solid">
        <fgColor rgb="00f4d8e3"/>
      </patternFill>
    </fill>
    <fill>
      <patternFill patternType="solid">
        <fgColor rgb="00fbeaf2"/>
      </patternFill>
    </fill>
    <fill>
      <patternFill patternType="solid">
        <fgColor rgb="00ddf6f6"/>
      </patternFill>
    </fill>
    <fill>
      <patternFill patternType="solid">
        <fgColor rgb="00bae5dc"/>
      </patternFill>
    </fill>
  </fills>
  <borders count="2">
    <border>
      <left/>
      <right/>
      <top/>
      <bottom/>
      <diagonal/>
    </border>
    <border>
      <left style="thin">
        <color rgb="00cbd2d8"/>
      </left>
      <right style="thin">
        <color rgb="00cbd2d8"/>
      </right>
      <top style="thin">
        <color rgb="00cbd2d8"/>
      </top>
      <bottom style="thin">
        <color rgb="00cbd2d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/>
    </xf>
    <xf numFmtId="9" fontId="0" fillId="0" borderId="0" pivotButton="0" quotePrefix="0" xfId="0"/>
    <xf numFmtId="169" fontId="0" fillId="0" borderId="0" pivotButton="0" quotePrefix="0" xfId="0"/>
    <xf numFmtId="173" fontId="0" fillId="0" borderId="0" pivotButton="0" quotePrefix="0" xfId="0"/>
    <xf numFmtId="170" fontId="0" fillId="0" borderId="0" pivotButton="0" quotePrefix="0" xfId="0"/>
    <xf numFmtId="165" fontId="0" fillId="4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0" applyAlignment="1" pivotButton="0" quotePrefix="0" xfId="0">
      <alignment horizontal="center"/>
    </xf>
    <xf numFmtId="168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171" fontId="0" fillId="0" borderId="0" pivotButton="0" quotePrefix="0" xfId="0"/>
    <xf numFmtId="0" fontId="4" fillId="4" borderId="0" pivotButton="0" quotePrefix="0" xfId="0"/>
    <xf numFmtId="171" fontId="0" fillId="4" borderId="0" pivotButton="0" quotePrefix="0" xfId="0"/>
    <xf numFmtId="0" fontId="5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5" fontId="0" fillId="7" borderId="0" pivotButton="0" quotePrefix="0" xfId="0"/>
    <xf numFmtId="3" fontId="0" fillId="7" borderId="0" pivotButton="0" quotePrefix="0" xfId="0"/>
    <xf numFmtId="171" fontId="0" fillId="7" borderId="0" pivotButton="0" quotePrefix="0" xfId="0"/>
    <xf numFmtId="3" fontId="0" fillId="4" borderId="0" pivotButton="0" quotePrefix="0" xfId="0"/>
    <xf numFmtId="172" fontId="0" fillId="0" borderId="0" pivotButton="0" quotePrefix="0" xfId="0"/>
    <xf numFmtId="168" fontId="0" fillId="7" borderId="0" pivotButton="0" quotePrefix="0" xfId="0"/>
    <xf numFmtId="169" fontId="0" fillId="7" borderId="0" pivotButton="0" quotePrefix="0" xfId="0"/>
    <xf numFmtId="170" fontId="0" fillId="7" borderId="0" pivotButton="0" quotePrefix="0" xfId="0"/>
    <xf numFmtId="170" fontId="0" fillId="4" borderId="0" pivotButton="0" quotePrefix="0" xfId="0"/>
    <xf numFmtId="170" fontId="0" fillId="8" borderId="0" pivotButton="0" quotePrefix="0" xfId="0"/>
    <xf numFmtId="170" fontId="0" fillId="9" borderId="0" pivotButton="0" quotePrefix="0" xfId="0"/>
    <xf numFmtId="170" fontId="0" fillId="10" borderId="0" pivotButton="0" quotePrefix="0" xfId="0"/>
    <xf numFmtId="170" fontId="0" fillId="11" borderId="0" pivotButton="0" quotePrefix="0" xfId="0"/>
    <xf numFmtId="174" fontId="0" fillId="0" borderId="0" pivotButton="0" quotePrefix="0" xfId="0"/>
    <xf numFmtId="175" fontId="0" fillId="4" borderId="0" pivotButton="0" quotePrefix="0" xfId="0"/>
    <xf numFmtId="174" fontId="0" fillId="7" borderId="0" pivotButton="0" quotePrefix="0" xfId="0"/>
    <xf numFmtId="17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Workday, Inc. (WDAY) — the answer block</t>
        </is>
      </c>
    </row>
    <row r="3">
      <c r="A3" s="2" t="inlineStr">
        <is>
          <t>Current price</t>
        </is>
      </c>
      <c r="B3" t="inlineStr">
        <is>
          <t>$129.34</t>
        </is>
      </c>
    </row>
    <row r="4">
      <c r="A4" s="2" t="inlineStr">
        <is>
          <t>Shares outstanding (M)</t>
        </is>
      </c>
      <c r="B4" t="n">
        <v>257</v>
      </c>
    </row>
    <row r="5">
      <c r="A5" s="2" t="inlineStr">
        <is>
          <t>Diluted shares FY26 (M)</t>
        </is>
      </c>
      <c r="B5" t="n">
        <v>268</v>
      </c>
    </row>
    <row r="6">
      <c r="A6" s="2" t="inlineStr">
        <is>
          <t>Market cap ($B)</t>
        </is>
      </c>
      <c r="B6" t="n">
        <v>33.24</v>
      </c>
    </row>
    <row r="7">
      <c r="A7" s="2" t="inlineStr">
        <is>
          <t>EV ($B)</t>
        </is>
      </c>
      <c r="B7" t="n">
        <v>31.62</v>
      </c>
    </row>
    <row r="8">
      <c r="A8" s="2" t="inlineStr">
        <is>
          <t>Net cash ($B) — incl. ~$834M op-lease liab in debt</t>
        </is>
      </c>
      <c r="B8" t="n">
        <v>1.62</v>
      </c>
    </row>
    <row r="9">
      <c r="A9" s="2" t="inlineStr"/>
      <c r="B9" t="inlineStr"/>
    </row>
    <row r="10">
      <c r="A10" s="2" t="inlineStr">
        <is>
          <t>FY26 revenue ($B)</t>
        </is>
      </c>
      <c r="B10" t="n">
        <v>9.550000000000001</v>
      </c>
    </row>
    <row r="11">
      <c r="A11" s="2" t="inlineStr">
        <is>
          <t>FY26 FCF ($B)</t>
        </is>
      </c>
      <c r="B11" t="n">
        <v>2.78</v>
      </c>
    </row>
    <row r="12">
      <c r="A12" s="2" t="inlineStr">
        <is>
          <t>FY26 owner FCF (FCF − SBC, $B)</t>
        </is>
      </c>
      <c r="B12" t="n">
        <v>1.15</v>
      </c>
    </row>
    <row r="13">
      <c r="A13" s="2" t="inlineStr">
        <is>
          <t>FY26 SBC ($B)</t>
        </is>
      </c>
      <c r="B13" t="n">
        <v>1.63</v>
      </c>
    </row>
    <row r="14">
      <c r="A14" s="2" t="inlineStr">
        <is>
          <t>FY26 12-mo sub backlog ($B)</t>
        </is>
      </c>
      <c r="B14" t="n">
        <v>8.83</v>
      </c>
    </row>
    <row r="15">
      <c r="A15" s="2" t="inlineStr">
        <is>
          <t>FY26 total sub backlog ($B)</t>
        </is>
      </c>
      <c r="B15" t="n">
        <v>28.1</v>
      </c>
    </row>
    <row r="16">
      <c r="A16" s="2" t="inlineStr"/>
      <c r="B16" t="inlineStr"/>
    </row>
    <row r="17">
      <c r="A17" s="2" t="inlineStr">
        <is>
          <t>Prob-weighted FY29 TSR (3yr)</t>
        </is>
      </c>
      <c r="B17" t="inlineStr">
        <is>
          <t>+111.6%</t>
        </is>
      </c>
    </row>
    <row r="18">
      <c r="A18" s="2" t="inlineStr">
        <is>
          <t>Prob-weighted FY30 TSR (4yr)</t>
        </is>
      </c>
      <c r="B18" t="inlineStr">
        <is>
          <t>+147.9%</t>
        </is>
      </c>
    </row>
    <row r="20">
      <c r="A20" s="3" t="inlineStr">
        <is>
          <t>Scenario FY29 TSR (3-year)</t>
        </is>
      </c>
    </row>
    <row r="21">
      <c r="A21" s="4" t="inlineStr">
        <is>
          <t>Scenario</t>
        </is>
      </c>
      <c r="B21" s="4" t="inlineStr">
        <is>
          <t>Prob</t>
        </is>
      </c>
      <c r="C21" s="4" t="inlineStr">
        <is>
          <t>Terminal $</t>
        </is>
      </c>
      <c r="D21" s="4" t="inlineStr">
        <is>
          <t>Price Δ $</t>
        </is>
      </c>
      <c r="E21" s="4" t="inlineStr">
        <is>
          <t>Cum Div $/sh</t>
        </is>
      </c>
      <c r="F21" s="4" t="inlineStr">
        <is>
          <t>Buyback $$M</t>
        </is>
      </c>
      <c r="G21" s="4" t="inlineStr">
        <is>
          <t>TSR %</t>
        </is>
      </c>
      <c r="H21" s="4" t="inlineStr">
        <is>
          <t>IRR %</t>
        </is>
      </c>
    </row>
    <row r="22">
      <c r="A22" t="inlineStr">
        <is>
          <t>Good AI</t>
        </is>
      </c>
      <c r="B22" s="5" t="n">
        <v>0.35</v>
      </c>
      <c r="C22" s="6" t="n">
        <v>577.92</v>
      </c>
      <c r="D22" s="7" t="n">
        <v>448.58</v>
      </c>
      <c r="E22" s="6" t="n">
        <v>0</v>
      </c>
      <c r="F22" s="8" t="n">
        <v>5652</v>
      </c>
      <c r="G22" s="9" t="n">
        <v>3.468</v>
      </c>
      <c r="H22" s="10" t="n">
        <v>0.647</v>
      </c>
    </row>
    <row r="23">
      <c r="A23" t="inlineStr">
        <is>
          <t>Runs For Cash</t>
        </is>
      </c>
      <c r="B23" s="5" t="n">
        <v>0.35</v>
      </c>
      <c r="C23" s="6" t="n">
        <v>125.26</v>
      </c>
      <c r="D23" s="7" t="n">
        <v>-4.08</v>
      </c>
      <c r="E23" s="6" t="n">
        <v>11.78</v>
      </c>
      <c r="F23" s="8" t="n">
        <v>6617</v>
      </c>
      <c r="G23" s="9" t="n">
        <v>0.06</v>
      </c>
      <c r="H23" s="10" t="n">
        <v>0.019</v>
      </c>
    </row>
    <row r="24">
      <c r="A24" t="inlineStr">
        <is>
          <t>What Goes Wrong</t>
        </is>
      </c>
      <c r="B24" s="5" t="n">
        <v>0.3</v>
      </c>
      <c r="C24" s="6" t="n">
        <v>74.88</v>
      </c>
      <c r="D24" s="7" t="n">
        <v>-54.46</v>
      </c>
      <c r="E24" s="6" t="n">
        <v>3.39</v>
      </c>
      <c r="F24" s="8" t="n">
        <v>2970</v>
      </c>
      <c r="G24" s="9" t="n">
        <v>-0.395</v>
      </c>
      <c r="H24" s="10" t="n">
        <v>-0.154</v>
      </c>
    </row>
    <row r="26">
      <c r="A26" s="3" t="inlineStr">
        <is>
          <t>Scenario FY30 TSR (4-year)</t>
        </is>
      </c>
    </row>
    <row r="27">
      <c r="A27" s="4" t="inlineStr">
        <is>
          <t>Scenario</t>
        </is>
      </c>
      <c r="B27" s="4" t="inlineStr">
        <is>
          <t>Prob</t>
        </is>
      </c>
      <c r="C27" s="4" t="inlineStr">
        <is>
          <t>Terminal $</t>
        </is>
      </c>
      <c r="D27" s="4" t="inlineStr">
        <is>
          <t>Price Δ $</t>
        </is>
      </c>
      <c r="E27" s="4" t="inlineStr">
        <is>
          <t>Cum Div $/sh</t>
        </is>
      </c>
      <c r="F27" s="4" t="inlineStr">
        <is>
          <t>Buyback $$M</t>
        </is>
      </c>
      <c r="G27" s="4" t="inlineStr">
        <is>
          <t>TSR %</t>
        </is>
      </c>
      <c r="H27" s="4" t="inlineStr">
        <is>
          <t>IRR %</t>
        </is>
      </c>
    </row>
    <row r="28">
      <c r="A28" t="inlineStr">
        <is>
          <t>Good AI</t>
        </is>
      </c>
      <c r="B28" s="5" t="n">
        <v>0.35</v>
      </c>
      <c r="C28" s="6" t="n">
        <v>708.15</v>
      </c>
      <c r="D28" s="7" t="n">
        <v>578.8099999999999</v>
      </c>
      <c r="E28" s="6" t="n">
        <v>0</v>
      </c>
      <c r="F28" s="8" t="n">
        <v>10044</v>
      </c>
      <c r="G28" s="9" t="n">
        <v>4.475</v>
      </c>
      <c r="H28" s="10" t="n">
        <v>0.53</v>
      </c>
    </row>
    <row r="29">
      <c r="A29" t="inlineStr">
        <is>
          <t>Runs For Cash</t>
        </is>
      </c>
      <c r="B29" s="5" t="n">
        <v>0.35</v>
      </c>
      <c r="C29" s="6" t="n">
        <v>124.93</v>
      </c>
      <c r="D29" s="7" t="n">
        <v>-4.41</v>
      </c>
      <c r="E29" s="6" t="n">
        <v>18.94</v>
      </c>
      <c r="F29" s="8" t="n">
        <v>9556</v>
      </c>
      <c r="G29" s="9" t="n">
        <v>0.112</v>
      </c>
      <c r="H29" s="10" t="n">
        <v>0.027</v>
      </c>
    </row>
    <row r="30">
      <c r="A30" t="inlineStr">
        <is>
          <t>What Goes Wrong</t>
        </is>
      </c>
      <c r="B30" s="5" t="n">
        <v>0.3</v>
      </c>
      <c r="C30" s="6" t="n">
        <v>69.15000000000001</v>
      </c>
      <c r="D30" s="7" t="n">
        <v>-60.19</v>
      </c>
      <c r="E30" s="6" t="n">
        <v>5.48</v>
      </c>
      <c r="F30" s="8" t="n">
        <v>3841</v>
      </c>
      <c r="G30" s="9" t="n">
        <v>-0.423</v>
      </c>
      <c r="H30" s="10" t="n">
        <v>-0.128</v>
      </c>
    </row>
    <row r="32">
      <c r="A32" s="3" t="inlineStr">
        <is>
          <t>Headline math (FY29)</t>
        </is>
      </c>
    </row>
    <row r="33">
      <c r="A33" t="inlineStr">
        <is>
          <t>Good AI</t>
        </is>
      </c>
      <c r="B33" t="inlineStr">
        <is>
          <t>28x FCF on $20.35 FY29 FCF/share growing 18% = $578 + $22 cum cap return = TSR +347%</t>
        </is>
      </c>
    </row>
    <row r="34">
      <c r="A34" t="inlineStr">
        <is>
          <t>Runs For Cash</t>
        </is>
      </c>
      <c r="B34" t="inlineStr">
        <is>
          <t>9x FCF on $13.77 FY29 FCF/share growing -7% = $125 + $38 cum cap return = TSR +6%</t>
        </is>
      </c>
    </row>
    <row r="35">
      <c r="A35" t="inlineStr">
        <is>
          <t>What Goes Wrong</t>
        </is>
      </c>
      <c r="B35" t="inlineStr">
        <is>
          <t>7x FCF on $8.38 FY29 FCF/share growing -9% = $75 + $15 cum cap return = TSR -40%</t>
        </is>
      </c>
    </row>
  </sheetData>
  <mergeCells count="3">
    <mergeCell ref="B35:H35"/>
    <mergeCell ref="B34:H34"/>
    <mergeCell ref="B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Workday, Inc. (WDAY) — model assumptions</t>
        </is>
      </c>
    </row>
    <row r="3">
      <c r="A3" s="2" t="inlineStr">
        <is>
          <t>Anchor inputs (May 2026)</t>
        </is>
      </c>
    </row>
    <row r="4">
      <c r="A4" t="inlineStr">
        <is>
          <t>Current price</t>
        </is>
      </c>
      <c r="B4" s="11" t="n">
        <v>129.34</v>
      </c>
    </row>
    <row r="5">
      <c r="A5" t="inlineStr">
        <is>
          <t>Shares outstanding (M)</t>
        </is>
      </c>
      <c r="B5" t="n">
        <v>257</v>
      </c>
    </row>
    <row r="6">
      <c r="A6" t="inlineStr">
        <is>
          <t>Shares diluted FY26 (M)</t>
        </is>
      </c>
      <c r="B6" t="n">
        <v>268</v>
      </c>
    </row>
    <row r="7">
      <c r="A7" t="inlineStr">
        <is>
          <t>Net cash ($B)</t>
        </is>
      </c>
      <c r="B7" s="11" t="n">
        <v>1.62</v>
      </c>
    </row>
    <row r="9">
      <c r="A9" s="2" t="inlineStr">
        <is>
          <t>Driver matrix — FY27E to FY30E</t>
        </is>
      </c>
    </row>
    <row r="10">
      <c r="A10" s="4" t="inlineStr">
        <is>
          <t>Driver</t>
        </is>
      </c>
      <c r="B10" s="4" t="inlineStr">
        <is>
          <t>Scenario</t>
        </is>
      </c>
      <c r="C10" s="4" t="inlineStr">
        <is>
          <t>FY27</t>
        </is>
      </c>
      <c r="D10" s="4" t="inlineStr">
        <is>
          <t>FY28</t>
        </is>
      </c>
      <c r="E10" s="4" t="inlineStr">
        <is>
          <t>FY29</t>
        </is>
      </c>
      <c r="F10" s="4" t="inlineStr">
        <is>
          <t>FY30</t>
        </is>
      </c>
    </row>
    <row r="11">
      <c r="A11" t="inlineStr">
        <is>
          <t>Revenue growth %</t>
        </is>
      </c>
      <c r="B11" t="inlineStr">
        <is>
          <t>AI Winner</t>
        </is>
      </c>
      <c r="C11" s="10" t="n">
        <v>0.1056</v>
      </c>
      <c r="D11" s="10" t="n">
        <v>0.1667</v>
      </c>
      <c r="E11" s="10" t="n">
        <v>0.1843</v>
      </c>
      <c r="F11" s="10" t="n">
        <v>0.1671</v>
      </c>
    </row>
    <row r="12">
      <c r="A12" t="inlineStr">
        <is>
          <t>Revenue growth %</t>
        </is>
      </c>
      <c r="B12" t="inlineStr">
        <is>
          <t>Run For Cash</t>
        </is>
      </c>
      <c r="C12" s="10" t="n">
        <v>0.0252</v>
      </c>
      <c r="D12" s="10" t="n">
        <v>-0.0328</v>
      </c>
      <c r="E12" s="10" t="n">
        <v>-0.0687</v>
      </c>
      <c r="F12" s="10" t="n">
        <v>-0.08</v>
      </c>
    </row>
    <row r="13">
      <c r="A13" t="inlineStr">
        <is>
          <t>Revenue growth %</t>
        </is>
      </c>
      <c r="B13" t="inlineStr">
        <is>
          <t>Bear</t>
        </is>
      </c>
      <c r="C13" s="10" t="n">
        <v>-0.0215</v>
      </c>
      <c r="D13" s="10" t="n">
        <v>-0.0795</v>
      </c>
      <c r="E13" s="10" t="n">
        <v>-0.09320000000000001</v>
      </c>
      <c r="F13" s="10" t="n">
        <v>-0.1015</v>
      </c>
    </row>
    <row r="15">
      <c r="A15" t="inlineStr">
        <is>
          <t>Backlog growth %</t>
        </is>
      </c>
      <c r="B15" t="inlineStr">
        <is>
          <t>AI Winner</t>
        </is>
      </c>
      <c r="C15" s="10" t="n">
        <v>0.16</v>
      </c>
      <c r="D15" s="10" t="n">
        <v>0.1801</v>
      </c>
      <c r="E15" s="10" t="n">
        <v>0.19</v>
      </c>
      <c r="F15" s="10" t="n">
        <v>0.16</v>
      </c>
    </row>
    <row r="16">
      <c r="A16" t="inlineStr">
        <is>
          <t>Backlog growth %</t>
        </is>
      </c>
      <c r="B16" t="inlineStr">
        <is>
          <t>Run For Cash</t>
        </is>
      </c>
      <c r="C16" s="10" t="n">
        <v>-0.04</v>
      </c>
      <c r="D16" s="10" t="n">
        <v>-0.09</v>
      </c>
      <c r="E16" s="10" t="n">
        <v>-0.1</v>
      </c>
      <c r="F16" s="10" t="n">
        <v>-0.0801</v>
      </c>
    </row>
    <row r="17">
      <c r="A17" t="inlineStr">
        <is>
          <t>Backlog growth %</t>
        </is>
      </c>
      <c r="B17" t="inlineStr">
        <is>
          <t>Bear</t>
        </is>
      </c>
      <c r="C17" s="10" t="n">
        <v>-0.05</v>
      </c>
      <c r="D17" s="10" t="n">
        <v>-0.1</v>
      </c>
      <c r="E17" s="10" t="n">
        <v>-0.11</v>
      </c>
      <c r="F17" s="10" t="n">
        <v>-0.08989999999999999</v>
      </c>
    </row>
    <row r="19">
      <c r="A19" t="inlineStr">
        <is>
          <t>Cost of rev (% rev)</t>
        </is>
      </c>
      <c r="B19" t="inlineStr">
        <is>
          <t>AI Winner</t>
        </is>
      </c>
      <c r="C19" s="10" t="n">
        <v>0.2541</v>
      </c>
      <c r="D19" s="10" t="n">
        <v>0.2502</v>
      </c>
      <c r="E19" s="10" t="n">
        <v>0.2444</v>
      </c>
      <c r="F19" s="10" t="n">
        <v>0.2344</v>
      </c>
    </row>
    <row r="20">
      <c r="A20" t="inlineStr">
        <is>
          <t>Cost of rev (% rev)</t>
        </is>
      </c>
      <c r="B20" t="inlineStr">
        <is>
          <t>Run For Cash</t>
        </is>
      </c>
      <c r="C20" s="10" t="n">
        <v>0.255</v>
      </c>
      <c r="D20" s="10" t="n">
        <v>0.255</v>
      </c>
      <c r="E20" s="10" t="n">
        <v>0.2551</v>
      </c>
      <c r="F20" s="10" t="n">
        <v>0.2525</v>
      </c>
    </row>
    <row r="21">
      <c r="A21" t="inlineStr">
        <is>
          <t>Cost of rev (% rev)</t>
        </is>
      </c>
      <c r="B21" t="inlineStr">
        <is>
          <t>Bear</t>
        </is>
      </c>
      <c r="C21" s="10" t="n">
        <v>0.2556</v>
      </c>
      <c r="D21" s="10" t="n">
        <v>0.2562</v>
      </c>
      <c r="E21" s="10" t="n">
        <v>0.2581</v>
      </c>
      <c r="F21" s="10" t="n">
        <v>0.2578</v>
      </c>
    </row>
    <row r="23">
      <c r="A23" t="inlineStr">
        <is>
          <t>R&amp;D (% rev)</t>
        </is>
      </c>
      <c r="B23" t="inlineStr">
        <is>
          <t>AI Winner</t>
        </is>
      </c>
      <c r="C23" s="10" t="n">
        <v>0.26</v>
      </c>
      <c r="D23" s="10" t="n">
        <v>0.25</v>
      </c>
      <c r="E23" s="10" t="n">
        <v>0.24</v>
      </c>
      <c r="F23" s="10" t="n">
        <v>0.23</v>
      </c>
    </row>
    <row r="24">
      <c r="A24" t="inlineStr">
        <is>
          <t>R&amp;D (% rev)</t>
        </is>
      </c>
      <c r="B24" t="inlineStr">
        <is>
          <t>Run For Cash</t>
        </is>
      </c>
      <c r="C24" s="10" t="n">
        <v>0.24</v>
      </c>
      <c r="D24" s="10" t="n">
        <v>0.2</v>
      </c>
      <c r="E24" s="10" t="n">
        <v>0.16</v>
      </c>
      <c r="F24" s="10" t="n">
        <v>0.13</v>
      </c>
    </row>
    <row r="25">
      <c r="A25" t="inlineStr">
        <is>
          <t>R&amp;D (% rev)</t>
        </is>
      </c>
      <c r="B25" t="inlineStr">
        <is>
          <t>Bear</t>
        </is>
      </c>
      <c r="C25" s="10" t="n">
        <v>0.26</v>
      </c>
      <c r="D25" s="10" t="n">
        <v>0.23</v>
      </c>
      <c r="E25" s="10" t="n">
        <v>0.1999</v>
      </c>
      <c r="F25" s="10" t="n">
        <v>0.18</v>
      </c>
    </row>
    <row r="27">
      <c r="A27" t="inlineStr">
        <is>
          <t>S&amp;M (% rev)</t>
        </is>
      </c>
      <c r="B27" t="inlineStr">
        <is>
          <t>AI Winner</t>
        </is>
      </c>
      <c r="C27" s="10" t="n">
        <v>0.25</v>
      </c>
      <c r="D27" s="10" t="n">
        <v>0.23</v>
      </c>
      <c r="E27" s="10" t="n">
        <v>0.21</v>
      </c>
      <c r="F27" s="10" t="n">
        <v>0.2</v>
      </c>
    </row>
    <row r="28">
      <c r="A28" t="inlineStr">
        <is>
          <t>S&amp;M (% rev)</t>
        </is>
      </c>
      <c r="B28" t="inlineStr">
        <is>
          <t>Run For Cash</t>
        </is>
      </c>
      <c r="C28" s="10" t="n">
        <v>0.22</v>
      </c>
      <c r="D28" s="10" t="n">
        <v>0.17</v>
      </c>
      <c r="E28" s="10" t="n">
        <v>0.13</v>
      </c>
      <c r="F28" s="10" t="n">
        <v>0.0999</v>
      </c>
    </row>
    <row r="29">
      <c r="A29" t="inlineStr">
        <is>
          <t>S&amp;M (% rev)</t>
        </is>
      </c>
      <c r="B29" t="inlineStr">
        <is>
          <t>Bear</t>
        </is>
      </c>
      <c r="C29" s="10" t="n">
        <v>0.24</v>
      </c>
      <c r="D29" s="10" t="n">
        <v>0.21</v>
      </c>
      <c r="E29" s="10" t="n">
        <v>0.18</v>
      </c>
      <c r="F29" s="10" t="n">
        <v>0.1601</v>
      </c>
    </row>
    <row r="31">
      <c r="A31" t="inlineStr">
        <is>
          <t>G&amp;A (% rev)</t>
        </is>
      </c>
      <c r="B31" t="inlineStr">
        <is>
          <t>AI Winner</t>
        </is>
      </c>
      <c r="C31" s="10" t="n">
        <v>0.09</v>
      </c>
      <c r="D31" s="10" t="n">
        <v>0.08500000000000001</v>
      </c>
      <c r="E31" s="10" t="n">
        <v>0.08</v>
      </c>
      <c r="F31" s="10" t="n">
        <v>0.08</v>
      </c>
    </row>
    <row r="32">
      <c r="A32" t="inlineStr">
        <is>
          <t>G&amp;A (% rev)</t>
        </is>
      </c>
      <c r="B32" t="inlineStr">
        <is>
          <t>Run For Cash</t>
        </is>
      </c>
      <c r="C32" s="10" t="n">
        <v>0.08</v>
      </c>
      <c r="D32" s="10" t="n">
        <v>0.07000000000000001</v>
      </c>
      <c r="E32" s="10" t="n">
        <v>0.06</v>
      </c>
      <c r="F32" s="10" t="n">
        <v>0.05</v>
      </c>
    </row>
    <row r="33">
      <c r="A33" t="inlineStr">
        <is>
          <t>G&amp;A (% rev)</t>
        </is>
      </c>
      <c r="B33" t="inlineStr">
        <is>
          <t>Bear</t>
        </is>
      </c>
      <c r="C33" s="10" t="n">
        <v>0.09</v>
      </c>
      <c r="D33" s="10" t="n">
        <v>0.08</v>
      </c>
      <c r="E33" s="10" t="n">
        <v>0.075</v>
      </c>
      <c r="F33" s="10" t="n">
        <v>0.07000000000000001</v>
      </c>
    </row>
    <row r="35">
      <c r="A35" t="inlineStr">
        <is>
          <t>SBC (% rev)</t>
        </is>
      </c>
      <c r="B35" t="inlineStr">
        <is>
          <t>AI Winner</t>
        </is>
      </c>
      <c r="C35" s="10" t="n">
        <v>0.15</v>
      </c>
      <c r="D35" s="10" t="n">
        <v>0.13</v>
      </c>
      <c r="E35" s="10" t="n">
        <v>0.12</v>
      </c>
      <c r="F35" s="10" t="n">
        <v>0.11</v>
      </c>
    </row>
    <row r="36">
      <c r="A36" t="inlineStr">
        <is>
          <t>SBC (% rev)</t>
        </is>
      </c>
      <c r="B36" t="inlineStr">
        <is>
          <t>Run For Cash</t>
        </is>
      </c>
      <c r="C36" s="10" t="n">
        <v>0.13</v>
      </c>
      <c r="D36" s="10" t="n">
        <v>0.08989999999999999</v>
      </c>
      <c r="E36" s="10" t="n">
        <v>0.06</v>
      </c>
      <c r="F36" s="10" t="n">
        <v>0.04</v>
      </c>
    </row>
    <row r="37">
      <c r="A37" t="inlineStr">
        <is>
          <t>SBC (% rev)</t>
        </is>
      </c>
      <c r="B37" t="inlineStr">
        <is>
          <t>Bear</t>
        </is>
      </c>
      <c r="C37" s="10" t="n">
        <v>0.15</v>
      </c>
      <c r="D37" s="10" t="n">
        <v>0.1299</v>
      </c>
      <c r="E37" s="10" t="n">
        <v>0.11</v>
      </c>
      <c r="F37" s="10" t="n">
        <v>0.1</v>
      </c>
    </row>
    <row r="39">
      <c r="A39" t="inlineStr">
        <is>
          <t>CFO margin</t>
        </is>
      </c>
      <c r="B39" t="inlineStr">
        <is>
          <t>AI Winner</t>
        </is>
      </c>
      <c r="C39" s="10" t="n">
        <v>0.33</v>
      </c>
      <c r="D39" s="10" t="n">
        <v>0.35</v>
      </c>
      <c r="E39" s="10" t="n">
        <v>0.37</v>
      </c>
      <c r="F39" s="10" t="n">
        <v>0.39</v>
      </c>
    </row>
    <row r="40">
      <c r="A40" t="inlineStr">
        <is>
          <t>CFO margin</t>
        </is>
      </c>
      <c r="B40" t="inlineStr">
        <is>
          <t>Run For Cash</t>
        </is>
      </c>
      <c r="C40" s="10" t="n">
        <v>0.33</v>
      </c>
      <c r="D40" s="10" t="n">
        <v>0.36</v>
      </c>
      <c r="E40" s="10" t="n">
        <v>0.3599</v>
      </c>
      <c r="F40" s="10" t="n">
        <v>0.34</v>
      </c>
    </row>
    <row r="41">
      <c r="A41" t="inlineStr">
        <is>
          <t>CFO margin</t>
        </is>
      </c>
      <c r="B41" t="inlineStr">
        <is>
          <t>Bear</t>
        </is>
      </c>
      <c r="C41" s="10" t="n">
        <v>0.3</v>
      </c>
      <c r="D41" s="10" t="n">
        <v>0.3</v>
      </c>
      <c r="E41" s="10" t="n">
        <v>0.2801</v>
      </c>
      <c r="F41" s="10" t="n">
        <v>0.2601</v>
      </c>
    </row>
    <row r="43">
      <c r="A43" t="inlineStr">
        <is>
          <t>Buyback (%/yr)</t>
        </is>
      </c>
      <c r="B43" t="inlineStr">
        <is>
          <t>AI Winner</t>
        </is>
      </c>
      <c r="C43" s="10" t="n">
        <v>0.0201</v>
      </c>
      <c r="D43" s="10" t="n">
        <v>0.0198</v>
      </c>
      <c r="E43" s="10" t="n">
        <v>0.0249</v>
      </c>
      <c r="F43" s="10" t="n">
        <v>0.0251</v>
      </c>
    </row>
    <row r="44">
      <c r="A44" t="inlineStr">
        <is>
          <t>Buyback (%/yr)</t>
        </is>
      </c>
      <c r="B44" t="inlineStr">
        <is>
          <t>Run For Cash</t>
        </is>
      </c>
      <c r="C44" s="10" t="n">
        <v>0.0399</v>
      </c>
      <c r="D44" s="10" t="n">
        <v>0.07000000000000001</v>
      </c>
      <c r="E44" s="10" t="n">
        <v>0.09030000000000001</v>
      </c>
      <c r="F44" s="10" t="n">
        <v>0.0997</v>
      </c>
    </row>
    <row r="45">
      <c r="A45" t="inlineStr">
        <is>
          <t>Buyback (%/yr)</t>
        </is>
      </c>
      <c r="B45" t="inlineStr">
        <is>
          <t>Bear</t>
        </is>
      </c>
      <c r="C45" s="10" t="n">
        <v>0.025</v>
      </c>
      <c r="D45" s="10" t="n">
        <v>0.0348</v>
      </c>
      <c r="E45" s="10" t="n">
        <v>0.04</v>
      </c>
      <c r="F45" s="10" t="n">
        <v>0.0401</v>
      </c>
    </row>
    <row r="47">
      <c r="A47" s="2" t="inlineStr">
        <is>
          <t>Exit ARR multiple</t>
        </is>
      </c>
      <c r="B47" t="inlineStr">
        <is>
          <t>AI Winner</t>
        </is>
      </c>
      <c r="C47" s="12" t="n">
        <v>10</v>
      </c>
    </row>
    <row r="48">
      <c r="B48" t="inlineStr">
        <is>
          <t>Run For Cash</t>
        </is>
      </c>
      <c r="C48" s="12" t="n">
        <v>3.5</v>
      </c>
    </row>
    <row r="49">
      <c r="B49" t="inlineStr">
        <is>
          <t>Bear</t>
        </is>
      </c>
      <c r="C49" s="12" t="n">
        <v>2.8</v>
      </c>
    </row>
    <row r="50">
      <c r="A50" s="2" t="inlineStr">
        <is>
          <t>Exit FCF multiple</t>
        </is>
      </c>
      <c r="B50" t="inlineStr">
        <is>
          <t>AI Winner</t>
        </is>
      </c>
      <c r="C50" s="13" t="n">
        <v>28</v>
      </c>
    </row>
    <row r="51">
      <c r="B51" t="inlineStr">
        <is>
          <t>Run For Cash</t>
        </is>
      </c>
      <c r="C51" s="13" t="n">
        <v>9</v>
      </c>
    </row>
    <row r="52">
      <c r="B52" t="inlineStr">
        <is>
          <t>Bear</t>
        </is>
      </c>
      <c r="C52" s="13" t="n">
        <v>7</v>
      </c>
    </row>
    <row r="53">
      <c r="A53" s="2" t="inlineStr">
        <is>
          <t>Probability</t>
        </is>
      </c>
      <c r="B53" t="inlineStr">
        <is>
          <t>AI Winner</t>
        </is>
      </c>
      <c r="C53" s="5" t="n">
        <v>0.35</v>
      </c>
    </row>
    <row r="54">
      <c r="B54" t="inlineStr">
        <is>
          <t>Run For Cash</t>
        </is>
      </c>
      <c r="C54" s="5" t="n">
        <v>0.35</v>
      </c>
    </row>
    <row r="55">
      <c r="B55" t="inlineStr">
        <is>
          <t>Bear</t>
        </is>
      </c>
      <c r="C55" s="5" t="n">
        <v>0.3</v>
      </c>
    </row>
    <row r="58">
      <c r="A58" s="3" t="inlineStr">
        <is>
          <t>Unit economics — HCM seats × PEPM / Financials customers × ARPC</t>
        </is>
      </c>
    </row>
    <row r="59">
      <c r="A59" s="2" t="inlineStr">
        <is>
          <t>Historical (FY18-FY26)</t>
        </is>
      </c>
    </row>
    <row r="60">
      <c r="A60" t="inlineStr">
        <is>
          <t>$/seats/customers</t>
        </is>
      </c>
      <c r="B60" s="14" t="inlineStr">
        <is>
          <t>FY2018</t>
        </is>
      </c>
      <c r="C60" s="14" t="inlineStr">
        <is>
          <t>FY2019</t>
        </is>
      </c>
      <c r="D60" s="14" t="inlineStr">
        <is>
          <t>FY2020</t>
        </is>
      </c>
      <c r="E60" s="14" t="inlineStr">
        <is>
          <t>FY2021</t>
        </is>
      </c>
      <c r="F60" s="14" t="inlineStr">
        <is>
          <t>FY2022</t>
        </is>
      </c>
      <c r="G60" s="14" t="inlineStr">
        <is>
          <t>FY2023</t>
        </is>
      </c>
      <c r="H60" s="14" t="inlineStr">
        <is>
          <t>FY2024</t>
        </is>
      </c>
      <c r="I60" s="14" t="inlineStr">
        <is>
          <t>FY2025</t>
        </is>
      </c>
      <c r="J60" s="14" t="inlineStr">
        <is>
          <t>FY2026</t>
        </is>
      </c>
    </row>
    <row r="61">
      <c r="A61" t="inlineStr">
        <is>
          <t>HCM seats (M)</t>
        </is>
      </c>
      <c r="B61" s="15" t="n">
        <v>18.5</v>
      </c>
      <c r="C61" s="15" t="n">
        <v>22</v>
      </c>
      <c r="D61" s="15" t="n">
        <v>26</v>
      </c>
      <c r="E61" s="15" t="n">
        <v>29.5</v>
      </c>
      <c r="F61" s="15" t="n">
        <v>34</v>
      </c>
      <c r="G61" s="15" t="n">
        <v>40</v>
      </c>
      <c r="H61" s="15" t="n">
        <v>47</v>
      </c>
      <c r="I61" s="15" t="n">
        <v>53</v>
      </c>
      <c r="J61" s="15" t="n">
        <v>60</v>
      </c>
    </row>
    <row r="62">
      <c r="A62" t="inlineStr">
        <is>
          <t>HCM PEPM ($/mo)</t>
        </is>
      </c>
      <c r="B62" s="6" t="n">
        <v>8.74</v>
      </c>
      <c r="C62" s="6" t="n">
        <v>9.44</v>
      </c>
      <c r="D62" s="6" t="n">
        <v>9.800000000000001</v>
      </c>
      <c r="E62" s="6" t="n">
        <v>9.880000000000001</v>
      </c>
      <c r="F62" s="6" t="n">
        <v>10.17</v>
      </c>
      <c r="G62" s="6" t="n">
        <v>10.29</v>
      </c>
      <c r="H62" s="6" t="n">
        <v>9.130000000000001</v>
      </c>
      <c r="I62" s="6" t="n">
        <v>9.24</v>
      </c>
      <c r="J62" s="6" t="n">
        <v>7.82</v>
      </c>
    </row>
    <row r="63">
      <c r="A63" t="inlineStr">
        <is>
          <t>HCM revenue implied ($M)</t>
        </is>
      </c>
      <c r="B63" s="16" t="n">
        <v>1940</v>
      </c>
      <c r="C63" s="16" t="n">
        <v>2492</v>
      </c>
      <c r="D63" s="16" t="n">
        <v>3058</v>
      </c>
      <c r="E63" s="16" t="n">
        <v>3498</v>
      </c>
      <c r="F63" s="16" t="n">
        <v>4149</v>
      </c>
      <c r="G63" s="16" t="n">
        <v>4939</v>
      </c>
      <c r="H63" s="16" t="n">
        <v>5149</v>
      </c>
      <c r="I63" s="16" t="n">
        <v>5877</v>
      </c>
      <c r="J63" s="16" t="n">
        <v>5630</v>
      </c>
    </row>
    <row r="64">
      <c r="A64" t="inlineStr">
        <is>
          <t>Financials customers (#)</t>
        </is>
      </c>
      <c r="B64" s="16" t="n">
        <v>380</v>
      </c>
      <c r="C64" s="16" t="n">
        <v>490</v>
      </c>
      <c r="D64" s="16" t="n">
        <v>620</v>
      </c>
      <c r="E64" s="16" t="n">
        <v>770</v>
      </c>
      <c r="F64" s="16" t="n">
        <v>960</v>
      </c>
      <c r="G64" s="16" t="n">
        <v>1200</v>
      </c>
      <c r="H64" s="16" t="n">
        <v>1500</v>
      </c>
      <c r="I64" s="16" t="n">
        <v>1800</v>
      </c>
      <c r="J64" s="16" t="n">
        <v>2150</v>
      </c>
    </row>
    <row r="65">
      <c r="A65" t="inlineStr">
        <is>
          <t>Financials ARPC ($k/yr)</t>
        </is>
      </c>
      <c r="B65" s="8" t="n">
        <v>405</v>
      </c>
      <c r="C65" s="8" t="n">
        <v>462</v>
      </c>
      <c r="D65" s="8" t="n">
        <v>528</v>
      </c>
      <c r="E65" s="8" t="n">
        <v>599</v>
      </c>
      <c r="F65" s="8" t="n">
        <v>678</v>
      </c>
      <c r="G65" s="8" t="n">
        <v>808</v>
      </c>
      <c r="H65" s="8" t="n">
        <v>969</v>
      </c>
      <c r="I65" s="8" t="n">
        <v>965</v>
      </c>
      <c r="J65" s="8" t="n">
        <v>1304</v>
      </c>
    </row>
    <row r="66">
      <c r="A66" t="inlineStr">
        <is>
          <t>Financials revenue implied ($M)</t>
        </is>
      </c>
      <c r="B66" s="16" t="n">
        <v>154</v>
      </c>
      <c r="C66" s="16" t="n">
        <v>226</v>
      </c>
      <c r="D66" s="16" t="n">
        <v>327</v>
      </c>
      <c r="E66" s="16" t="n">
        <v>461</v>
      </c>
      <c r="F66" s="16" t="n">
        <v>651</v>
      </c>
      <c r="G66" s="16" t="n">
        <v>970</v>
      </c>
      <c r="H66" s="16" t="n">
        <v>1454</v>
      </c>
      <c r="I66" s="16" t="n">
        <v>1737</v>
      </c>
      <c r="J66" s="16" t="n">
        <v>2804</v>
      </c>
    </row>
    <row r="68">
      <c r="A68" s="2" t="inlineStr">
        <is>
          <t>Forecast (FY27-FY30) per scenario</t>
        </is>
      </c>
    </row>
    <row r="69">
      <c r="A69" t="inlineStr">
        <is>
          <t>$/seats/customers</t>
        </is>
      </c>
      <c r="B69" s="2" t="inlineStr">
        <is>
          <t>Scenario</t>
        </is>
      </c>
      <c r="C69" s="14" t="inlineStr">
        <is>
          <t>FY2027</t>
        </is>
      </c>
      <c r="D69" s="14" t="inlineStr">
        <is>
          <t>FY2028</t>
        </is>
      </c>
      <c r="E69" s="14" t="inlineStr">
        <is>
          <t>FY2029</t>
        </is>
      </c>
      <c r="F69" s="14" t="inlineStr">
        <is>
          <t>FY2030</t>
        </is>
      </c>
    </row>
    <row r="70">
      <c r="A70" t="inlineStr">
        <is>
          <t>HCM seats (M)</t>
        </is>
      </c>
      <c r="B70" t="inlineStr">
        <is>
          <t>AI Winner</t>
        </is>
      </c>
      <c r="C70" s="15" t="n">
        <v>62</v>
      </c>
      <c r="D70" s="15" t="n">
        <v>64</v>
      </c>
      <c r="E70" s="15" t="n">
        <v>66</v>
      </c>
      <c r="F70" s="15" t="n">
        <v>68</v>
      </c>
    </row>
    <row r="71">
      <c r="A71" t="inlineStr">
        <is>
          <t>HCM seats (M)</t>
        </is>
      </c>
      <c r="B71" t="inlineStr">
        <is>
          <t>Run For Cash</t>
        </is>
      </c>
      <c r="C71" s="15" t="n">
        <v>61.5</v>
      </c>
      <c r="D71" s="15" t="n">
        <v>60.5</v>
      </c>
      <c r="E71" s="15" t="n">
        <v>58.5</v>
      </c>
      <c r="F71" s="15" t="n">
        <v>56</v>
      </c>
    </row>
    <row r="72">
      <c r="A72" t="inlineStr">
        <is>
          <t>HCM seats (M)</t>
        </is>
      </c>
      <c r="B72" t="inlineStr">
        <is>
          <t>What Goes Wrong</t>
        </is>
      </c>
      <c r="C72" s="15" t="n">
        <v>60</v>
      </c>
      <c r="D72" s="15" t="n">
        <v>57</v>
      </c>
      <c r="E72" s="15" t="n">
        <v>54</v>
      </c>
      <c r="F72" s="15" t="n">
        <v>51</v>
      </c>
    </row>
    <row r="74">
      <c r="A74" t="inlineStr">
        <is>
          <t>HCM PEPM ($/mo)</t>
        </is>
      </c>
      <c r="B74" t="inlineStr">
        <is>
          <t>AI Winner</t>
        </is>
      </c>
      <c r="C74" s="6" t="n">
        <v>7.97</v>
      </c>
      <c r="D74" s="6" t="n">
        <v>8.300000000000001</v>
      </c>
      <c r="E74" s="6" t="n">
        <v>8.74</v>
      </c>
      <c r="F74" s="6" t="n">
        <v>9.18</v>
      </c>
    </row>
    <row r="75">
      <c r="A75" t="inlineStr">
        <is>
          <t>HCM PEPM ($/mo)</t>
        </is>
      </c>
      <c r="B75" t="inlineStr">
        <is>
          <t>Run For Cash</t>
        </is>
      </c>
      <c r="C75" s="6" t="n">
        <v>7.95</v>
      </c>
      <c r="D75" s="6" t="n">
        <v>7.8</v>
      </c>
      <c r="E75" s="6" t="n">
        <v>7.65</v>
      </c>
      <c r="F75" s="6" t="n">
        <v>7.5</v>
      </c>
    </row>
    <row r="76">
      <c r="A76" t="inlineStr">
        <is>
          <t>HCM PEPM ($/mo)</t>
        </is>
      </c>
      <c r="B76" t="inlineStr">
        <is>
          <t>What Goes Wrong</t>
        </is>
      </c>
      <c r="C76" s="6" t="n">
        <v>7.85</v>
      </c>
      <c r="D76" s="6" t="n">
        <v>7.65</v>
      </c>
      <c r="E76" s="6" t="n">
        <v>7.4</v>
      </c>
      <c r="F76" s="6" t="n">
        <v>7.15</v>
      </c>
    </row>
    <row r="78">
      <c r="A78" t="inlineStr">
        <is>
          <t>HCM revenue implied ($M)</t>
        </is>
      </c>
      <c r="B78" t="inlineStr">
        <is>
          <t>AI Winner</t>
        </is>
      </c>
      <c r="C78" s="16" t="n">
        <v>5930</v>
      </c>
      <c r="D78" s="16" t="n">
        <v>6374</v>
      </c>
      <c r="E78" s="16" t="n">
        <v>6922</v>
      </c>
      <c r="F78" s="16" t="n">
        <v>7491</v>
      </c>
    </row>
    <row r="79">
      <c r="A79" t="inlineStr">
        <is>
          <t>HCM revenue implied ($M)</t>
        </is>
      </c>
      <c r="B79" t="inlineStr">
        <is>
          <t>Run For Cash</t>
        </is>
      </c>
      <c r="C79" s="16" t="n">
        <v>5867</v>
      </c>
      <c r="D79" s="16" t="n">
        <v>5663</v>
      </c>
      <c r="E79" s="16" t="n">
        <v>5370</v>
      </c>
      <c r="F79" s="16" t="n">
        <v>5040</v>
      </c>
    </row>
    <row r="80">
      <c r="A80" t="inlineStr">
        <is>
          <t>HCM revenue implied ($M)</t>
        </is>
      </c>
      <c r="B80" t="inlineStr">
        <is>
          <t>What Goes Wrong</t>
        </is>
      </c>
      <c r="C80" s="16" t="n">
        <v>5652</v>
      </c>
      <c r="D80" s="16" t="n">
        <v>5233</v>
      </c>
      <c r="E80" s="16" t="n">
        <v>4795</v>
      </c>
      <c r="F80" s="16" t="n">
        <v>4376</v>
      </c>
    </row>
    <row r="82">
      <c r="A82" t="inlineStr">
        <is>
          <t>Financials customers (#)</t>
        </is>
      </c>
      <c r="B82" t="inlineStr">
        <is>
          <t>AI Winner</t>
        </is>
      </c>
      <c r="C82" s="16" t="n">
        <v>2400</v>
      </c>
      <c r="D82" s="16" t="n">
        <v>2700</v>
      </c>
      <c r="E82" s="16" t="n">
        <v>3000</v>
      </c>
      <c r="F82" s="16" t="n">
        <v>3300</v>
      </c>
    </row>
    <row r="83">
      <c r="A83" t="inlineStr">
        <is>
          <t>Financials customers (#)</t>
        </is>
      </c>
      <c r="B83" t="inlineStr">
        <is>
          <t>Run For Cash</t>
        </is>
      </c>
      <c r="C83" s="16" t="n">
        <v>2250</v>
      </c>
      <c r="D83" s="16" t="n">
        <v>2250</v>
      </c>
      <c r="E83" s="16" t="n">
        <v>2150</v>
      </c>
      <c r="F83" s="16" t="n">
        <v>2050</v>
      </c>
    </row>
    <row r="84">
      <c r="A84" t="inlineStr">
        <is>
          <t>Financials customers (#)</t>
        </is>
      </c>
      <c r="B84" t="inlineStr">
        <is>
          <t>What Goes Wrong</t>
        </is>
      </c>
      <c r="C84" s="16" t="n">
        <v>2200</v>
      </c>
      <c r="D84" s="16" t="n">
        <v>2100</v>
      </c>
      <c r="E84" s="16" t="n">
        <v>1950</v>
      </c>
      <c r="F84" s="16" t="n">
        <v>1800</v>
      </c>
    </row>
    <row r="86">
      <c r="A86" t="inlineStr">
        <is>
          <t>Financials ARPC ($k/yr)</t>
        </is>
      </c>
      <c r="B86" t="inlineStr">
        <is>
          <t>AI Winner</t>
        </is>
      </c>
      <c r="C86" s="8" t="n">
        <v>1400</v>
      </c>
      <c r="D86" s="8" t="n">
        <v>1500</v>
      </c>
      <c r="E86" s="8" t="n">
        <v>1610</v>
      </c>
      <c r="F86" s="8" t="n">
        <v>1720</v>
      </c>
    </row>
    <row r="87">
      <c r="A87" t="inlineStr">
        <is>
          <t>Financials ARPC ($k/yr)</t>
        </is>
      </c>
      <c r="B87" t="inlineStr">
        <is>
          <t>Run For Cash</t>
        </is>
      </c>
      <c r="C87" s="8" t="n">
        <v>1250</v>
      </c>
      <c r="D87" s="8" t="n">
        <v>1165</v>
      </c>
      <c r="E87" s="8" t="n">
        <v>1040</v>
      </c>
      <c r="F87" s="8" t="n">
        <v>950</v>
      </c>
    </row>
    <row r="88">
      <c r="A88" t="inlineStr">
        <is>
          <t>Financials ARPC ($k/yr)</t>
        </is>
      </c>
      <c r="B88" t="inlineStr">
        <is>
          <t>What Goes Wrong</t>
        </is>
      </c>
      <c r="C88" s="8" t="n">
        <v>1200</v>
      </c>
      <c r="D88" s="8" t="n">
        <v>1100</v>
      </c>
      <c r="E88" s="8" t="n">
        <v>1000</v>
      </c>
      <c r="F88" s="8" t="n">
        <v>920</v>
      </c>
    </row>
    <row r="90">
      <c r="A90" t="inlineStr">
        <is>
          <t>Financials revenue implied ($M)</t>
        </is>
      </c>
      <c r="B90" t="inlineStr">
        <is>
          <t>AI Winner</t>
        </is>
      </c>
      <c r="C90" s="16" t="n">
        <v>3360</v>
      </c>
      <c r="D90" s="16" t="n">
        <v>4050</v>
      </c>
      <c r="E90" s="16" t="n">
        <v>4830</v>
      </c>
      <c r="F90" s="16" t="n">
        <v>5676</v>
      </c>
    </row>
    <row r="91">
      <c r="A91" t="inlineStr">
        <is>
          <t>Financials revenue implied ($M)</t>
        </is>
      </c>
      <c r="B91" t="inlineStr">
        <is>
          <t>Run For Cash</t>
        </is>
      </c>
      <c r="C91" s="16" t="n">
        <v>2812</v>
      </c>
      <c r="D91" s="16" t="n">
        <v>2621</v>
      </c>
      <c r="E91" s="16" t="n">
        <v>2236</v>
      </c>
      <c r="F91" s="16" t="n">
        <v>1948</v>
      </c>
    </row>
    <row r="92">
      <c r="A92" t="inlineStr">
        <is>
          <t>Financials revenue implied ($M)</t>
        </is>
      </c>
      <c r="B92" t="inlineStr">
        <is>
          <t>What Goes Wrong</t>
        </is>
      </c>
      <c r="C92" s="16" t="n">
        <v>2640</v>
      </c>
      <c r="D92" s="16" t="n">
        <v>2310</v>
      </c>
      <c r="E92" s="16" t="n">
        <v>1950</v>
      </c>
      <c r="F92" s="16" t="n">
        <v>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WDAY historicals (FY21-FY26)</t>
        </is>
      </c>
    </row>
    <row r="3">
      <c r="A3" s="4" t="inlineStr">
        <is>
          <t>$M</t>
        </is>
      </c>
      <c r="B3" s="4" t="inlineStr">
        <is>
          <t>FY2021</t>
        </is>
      </c>
      <c r="C3" s="4" t="inlineStr">
        <is>
          <t>FY2022</t>
        </is>
      </c>
      <c r="D3" s="4" t="inlineStr">
        <is>
          <t>FY2023</t>
        </is>
      </c>
      <c r="E3" s="4" t="inlineStr">
        <is>
          <t>FY2024</t>
        </is>
      </c>
      <c r="F3" s="4" t="inlineStr">
        <is>
          <t>FY2025</t>
        </is>
      </c>
      <c r="G3" s="4" t="inlineStr">
        <is>
          <t>FY2026</t>
        </is>
      </c>
    </row>
    <row r="4">
      <c r="A4" s="3" t="inlineStr">
        <is>
          <t>Income Statement</t>
        </is>
      </c>
      <c r="B4" s="17" t="n"/>
      <c r="C4" s="17" t="n"/>
      <c r="D4" s="17" t="n"/>
      <c r="E4" s="17" t="n"/>
      <c r="F4" s="17" t="n"/>
      <c r="G4" s="17" t="n"/>
      <c r="H4" s="17" t="n"/>
    </row>
    <row r="5">
      <c r="A5" s="18" t="inlineStr">
        <is>
          <t>Revenue</t>
        </is>
      </c>
      <c r="B5" s="19" t="n">
        <v>4318</v>
      </c>
      <c r="C5" s="19" t="n">
        <v>5139</v>
      </c>
      <c r="D5" s="19" t="n">
        <v>6216</v>
      </c>
      <c r="E5" s="19" t="n">
        <v>7259</v>
      </c>
      <c r="F5" s="19" t="n">
        <v>8446</v>
      </c>
      <c r="G5" s="19" t="n">
        <v>9552</v>
      </c>
    </row>
    <row r="6">
      <c r="A6" s="18" t="inlineStr">
        <is>
          <t>Cost of revenue</t>
        </is>
      </c>
      <c r="B6" s="19" t="n">
        <v>1198.1</v>
      </c>
      <c r="C6" s="19" t="n">
        <v>1428</v>
      </c>
      <c r="D6" s="19" t="n">
        <v>1750</v>
      </c>
      <c r="E6" s="19" t="n">
        <v>1771</v>
      </c>
      <c r="F6" s="19" t="n">
        <v>2153</v>
      </c>
      <c r="G6" s="19" t="n">
        <v>2624</v>
      </c>
    </row>
    <row r="7">
      <c r="A7" s="20" t="inlineStr">
        <is>
          <t>Gross profit</t>
        </is>
      </c>
      <c r="B7" s="21" t="n">
        <v>3119.9</v>
      </c>
      <c r="C7" s="21" t="n">
        <v>3711</v>
      </c>
      <c r="D7" s="21" t="n">
        <v>4466</v>
      </c>
      <c r="E7" s="21" t="n">
        <v>5488</v>
      </c>
      <c r="F7" s="21" t="n">
        <v>6293</v>
      </c>
      <c r="G7" s="21" t="n">
        <v>6928</v>
      </c>
    </row>
    <row r="8">
      <c r="A8" s="18" t="inlineStr">
        <is>
          <t>R&amp;D</t>
        </is>
      </c>
      <c r="B8" s="19" t="n">
        <v>1721.2</v>
      </c>
      <c r="C8" s="19" t="n">
        <v>1879</v>
      </c>
      <c r="D8" s="19" t="n">
        <v>2247</v>
      </c>
      <c r="E8" s="19" t="n">
        <v>2464</v>
      </c>
      <c r="F8" s="19" t="n">
        <v>2626</v>
      </c>
      <c r="G8" s="19" t="n">
        <v>2679</v>
      </c>
    </row>
    <row r="9">
      <c r="A9" s="18" t="inlineStr">
        <is>
          <t>S&amp;M</t>
        </is>
      </c>
      <c r="B9" s="19" t="n">
        <v>1233.2</v>
      </c>
      <c r="C9" s="19" t="n">
        <v>1462</v>
      </c>
      <c r="D9" s="19" t="n">
        <v>1842</v>
      </c>
      <c r="E9" s="19" t="n">
        <v>2139</v>
      </c>
      <c r="F9" s="19" t="n">
        <v>2432</v>
      </c>
      <c r="G9" s="19" t="n">
        <v>2616</v>
      </c>
    </row>
    <row r="10">
      <c r="A10" s="18" t="inlineStr">
        <is>
          <t>G&amp;A</t>
        </is>
      </c>
      <c r="B10" s="19" t="n">
        <v>414.1</v>
      </c>
      <c r="C10" s="19" t="n">
        <v>486</v>
      </c>
      <c r="D10" s="19" t="n">
        <v>599</v>
      </c>
      <c r="E10" s="19" t="n">
        <v>702</v>
      </c>
      <c r="F10" s="19" t="n">
        <v>820</v>
      </c>
      <c r="G10" s="19" t="n">
        <v>912</v>
      </c>
    </row>
    <row r="11">
      <c r="A11" s="20" t="inlineStr">
        <is>
          <t>Operating income</t>
        </is>
      </c>
      <c r="B11" s="21" t="n">
        <v>-248.6</v>
      </c>
      <c r="C11" s="21" t="n">
        <v>-116</v>
      </c>
      <c r="D11" s="21" t="n">
        <v>-222</v>
      </c>
      <c r="E11" s="21" t="n">
        <v>183</v>
      </c>
      <c r="F11" s="21" t="n">
        <v>415</v>
      </c>
      <c r="G11" s="21" t="n">
        <v>721</v>
      </c>
    </row>
    <row r="12">
      <c r="A12" s="18" t="inlineStr">
        <is>
          <t>Net income (GAAP)</t>
        </is>
      </c>
      <c r="B12" s="19" t="n">
        <v>-282.4</v>
      </c>
      <c r="C12" s="19" t="n">
        <v>29</v>
      </c>
      <c r="D12" s="19" t="n">
        <v>-367</v>
      </c>
      <c r="E12" s="19" t="n">
        <v>1381</v>
      </c>
      <c r="F12" s="19" t="n">
        <v>526</v>
      </c>
      <c r="G12" s="19" t="n">
        <v>693</v>
      </c>
    </row>
    <row r="14">
      <c r="A14" s="3" t="inlineStr">
        <is>
          <t>Cash Flow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18" t="inlineStr">
        <is>
          <t>Cash from operations</t>
        </is>
      </c>
      <c r="B15" s="19" t="n">
        <v>1268.4</v>
      </c>
      <c r="C15" s="19" t="n">
        <v>1651</v>
      </c>
      <c r="D15" s="19" t="n">
        <v>1657</v>
      </c>
      <c r="E15" s="19" t="n">
        <v>2149</v>
      </c>
      <c r="F15" s="19" t="n">
        <v>2461</v>
      </c>
      <c r="G15" s="19" t="n">
        <v>2939</v>
      </c>
    </row>
    <row r="16">
      <c r="A16" s="18" t="inlineStr">
        <is>
          <t>Capex</t>
        </is>
      </c>
      <c r="B16" s="19" t="n"/>
      <c r="C16" s="19" t="n"/>
      <c r="D16" s="19" t="n">
        <v>364</v>
      </c>
      <c r="E16" s="19" t="n">
        <v>232</v>
      </c>
      <c r="F16" s="19" t="n">
        <v>269</v>
      </c>
      <c r="G16" s="19" t="n">
        <v>162</v>
      </c>
    </row>
    <row r="17">
      <c r="A17" s="20" t="inlineStr">
        <is>
          <t>Free cash flow</t>
        </is>
      </c>
      <c r="B17" s="21" t="n">
        <v>1268.4</v>
      </c>
      <c r="C17" s="21" t="n">
        <v>1651</v>
      </c>
      <c r="D17" s="21" t="n">
        <v>1293</v>
      </c>
      <c r="E17" s="21" t="n">
        <v>1917</v>
      </c>
      <c r="F17" s="21" t="n">
        <v>2192</v>
      </c>
      <c r="G17" s="21" t="n">
        <v>2777</v>
      </c>
    </row>
    <row r="18">
      <c r="A18" s="18" t="inlineStr">
        <is>
          <t>SBC (memo)</t>
        </is>
      </c>
      <c r="B18" s="19" t="n">
        <v>1004.9</v>
      </c>
      <c r="C18" s="19" t="n">
        <v>1101</v>
      </c>
      <c r="D18" s="19" t="n">
        <v>1295</v>
      </c>
      <c r="E18" s="19" t="n">
        <v>1416</v>
      </c>
      <c r="F18" s="19" t="n">
        <v>1519</v>
      </c>
      <c r="G18" s="19" t="n">
        <v>1626</v>
      </c>
    </row>
    <row r="19">
      <c r="A19" s="20" t="inlineStr">
        <is>
          <t>FCF − SBC</t>
        </is>
      </c>
      <c r="B19" s="21" t="n">
        <v>263.5</v>
      </c>
      <c r="C19" s="21" t="n">
        <v>550</v>
      </c>
      <c r="D19" s="21" t="n">
        <v>-2</v>
      </c>
      <c r="E19" s="21" t="n">
        <v>501</v>
      </c>
      <c r="F19" s="21" t="n">
        <v>673</v>
      </c>
      <c r="G19" s="21" t="n">
        <v>1151</v>
      </c>
    </row>
    <row r="20">
      <c r="A20" s="18" t="inlineStr">
        <is>
          <t>Diluted shares (M)</t>
        </is>
      </c>
      <c r="B20" s="16" t="n">
        <v>237</v>
      </c>
      <c r="C20" s="16" t="n">
        <v>254</v>
      </c>
      <c r="D20" s="16" t="n">
        <v>254.8</v>
      </c>
      <c r="E20" s="16" t="n">
        <v>265.3</v>
      </c>
      <c r="F20" s="16" t="n">
        <v>269.2</v>
      </c>
      <c r="G20" s="16" t="n">
        <v>268.1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" customWidth="1" min="12" max="12"/>
    <col width="14" customWidth="1" min="13" max="13"/>
    <col width="14" customWidth="1" min="14" max="14"/>
  </cols>
  <sheetData>
    <row r="1">
      <c r="A1" s="1" t="inlineStr">
        <is>
          <t>WDAY forecast — AI Winner</t>
        </is>
      </c>
    </row>
    <row r="3">
      <c r="A3" s="2" t="inlineStr">
        <is>
          <t>Period</t>
        </is>
      </c>
      <c r="B3" s="22" t="inlineStr">
        <is>
          <t>Actual</t>
        </is>
      </c>
      <c r="C3" s="22" t="inlineStr">
        <is>
          <t>Actual</t>
        </is>
      </c>
      <c r="D3" s="22" t="inlineStr">
        <is>
          <t>Actual</t>
        </is>
      </c>
      <c r="E3" s="22" t="inlineStr">
        <is>
          <t>Actual</t>
        </is>
      </c>
      <c r="F3" s="22" t="inlineStr">
        <is>
          <t>Actual</t>
        </is>
      </c>
      <c r="G3" s="22" t="inlineStr">
        <is>
          <t>Actual</t>
        </is>
      </c>
      <c r="H3" s="23" t="inlineStr">
        <is>
          <t>Forecast</t>
        </is>
      </c>
      <c r="I3" s="23" t="inlineStr">
        <is>
          <t>Forecast</t>
        </is>
      </c>
      <c r="J3" s="23" t="inlineStr">
        <is>
          <t>Forecast</t>
        </is>
      </c>
      <c r="K3" s="23" t="inlineStr">
        <is>
          <t>Forecast</t>
        </is>
      </c>
      <c r="L3" t="inlineStr"/>
      <c r="M3" s="24" t="inlineStr">
        <is>
          <t>CAGR</t>
        </is>
      </c>
      <c r="N3" s="24" t="inlineStr">
        <is>
          <t>CAGR</t>
        </is>
      </c>
    </row>
    <row r="4">
      <c r="A4" s="2" t="inlineStr">
        <is>
          <t>$M unless noted</t>
        </is>
      </c>
      <c r="B4" s="4" t="inlineStr">
        <is>
          <t>FY21A</t>
        </is>
      </c>
      <c r="C4" s="4" t="inlineStr">
        <is>
          <t>FY22A</t>
        </is>
      </c>
      <c r="D4" s="4" t="inlineStr">
        <is>
          <t>FY23A</t>
        </is>
      </c>
      <c r="E4" s="4" t="inlineStr">
        <is>
          <t>FY24A</t>
        </is>
      </c>
      <c r="F4" s="4" t="inlineStr">
        <is>
          <t>FY25A</t>
        </is>
      </c>
      <c r="G4" s="4" t="inlineStr">
        <is>
          <t>FY26A</t>
        </is>
      </c>
      <c r="H4" s="25" t="inlineStr">
        <is>
          <t>FY27E</t>
        </is>
      </c>
      <c r="I4" s="25" t="inlineStr">
        <is>
          <t>FY28E</t>
        </is>
      </c>
      <c r="J4" s="25" t="inlineStr">
        <is>
          <t>FY29E</t>
        </is>
      </c>
      <c r="K4" s="25" t="inlineStr">
        <is>
          <t>FY30E</t>
        </is>
      </c>
      <c r="L4" t="inlineStr"/>
      <c r="M4" s="26" t="inlineStr">
        <is>
          <t>CAGR FY21-25</t>
        </is>
      </c>
      <c r="N4" s="26" t="inlineStr">
        <is>
          <t>CAGR FY26-30</t>
        </is>
      </c>
    </row>
    <row r="5">
      <c r="A5" s="3" t="inlineStr">
        <is>
          <t>Drivers (from Assumptions tab)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t="inlineStr">
        <is>
          <t>Revenue growth %</t>
        </is>
      </c>
      <c r="H6" s="27">
        <f>Assumptions!C11</f>
        <v/>
      </c>
      <c r="I6" s="27">
        <f>Assumptions!D11</f>
        <v/>
      </c>
      <c r="J6" s="27">
        <f>Assumptions!E11</f>
        <v/>
      </c>
      <c r="K6" s="27">
        <f>Assumptions!F11</f>
        <v/>
      </c>
    </row>
    <row r="7">
      <c r="A7" t="inlineStr">
        <is>
          <t>Backlog growth %</t>
        </is>
      </c>
      <c r="H7" s="27">
        <f>Assumptions!C15</f>
        <v/>
      </c>
      <c r="I7" s="27">
        <f>Assumptions!D15</f>
        <v/>
      </c>
      <c r="J7" s="27">
        <f>Assumptions!E15</f>
        <v/>
      </c>
      <c r="K7" s="27">
        <f>Assumptions!F15</f>
        <v/>
      </c>
    </row>
    <row r="8">
      <c r="A8" t="inlineStr">
        <is>
          <t>Cost of rev (% rev)</t>
        </is>
      </c>
      <c r="H8" s="27">
        <f>Assumptions!C19</f>
        <v/>
      </c>
      <c r="I8" s="27">
        <f>Assumptions!D19</f>
        <v/>
      </c>
      <c r="J8" s="27">
        <f>Assumptions!E19</f>
        <v/>
      </c>
      <c r="K8" s="27">
        <f>Assumptions!F19</f>
        <v/>
      </c>
    </row>
    <row r="9">
      <c r="A9" t="inlineStr">
        <is>
          <t>R&amp;D (% rev)</t>
        </is>
      </c>
      <c r="H9" s="27">
        <f>Assumptions!C23</f>
        <v/>
      </c>
      <c r="I9" s="27">
        <f>Assumptions!D23</f>
        <v/>
      </c>
      <c r="J9" s="27">
        <f>Assumptions!E23</f>
        <v/>
      </c>
      <c r="K9" s="27">
        <f>Assumptions!F23</f>
        <v/>
      </c>
    </row>
    <row r="10">
      <c r="A10" t="inlineStr">
        <is>
          <t>S&amp;M (% rev)</t>
        </is>
      </c>
      <c r="H10" s="27">
        <f>Assumptions!C27</f>
        <v/>
      </c>
      <c r="I10" s="27">
        <f>Assumptions!D27</f>
        <v/>
      </c>
      <c r="J10" s="27">
        <f>Assumptions!E27</f>
        <v/>
      </c>
      <c r="K10" s="27">
        <f>Assumptions!F27</f>
        <v/>
      </c>
    </row>
    <row r="11">
      <c r="A11" t="inlineStr">
        <is>
          <t>G&amp;A (% rev)</t>
        </is>
      </c>
      <c r="H11" s="27">
        <f>Assumptions!C31</f>
        <v/>
      </c>
      <c r="I11" s="27">
        <f>Assumptions!D31</f>
        <v/>
      </c>
      <c r="J11" s="27">
        <f>Assumptions!E31</f>
        <v/>
      </c>
      <c r="K11" s="27">
        <f>Assumptions!F31</f>
        <v/>
      </c>
    </row>
    <row r="12">
      <c r="A12" t="inlineStr">
        <is>
          <t>SBC (% rev)</t>
        </is>
      </c>
      <c r="H12" s="27">
        <f>Assumptions!C35</f>
        <v/>
      </c>
      <c r="I12" s="27">
        <f>Assumptions!D35</f>
        <v/>
      </c>
      <c r="J12" s="27">
        <f>Assumptions!E35</f>
        <v/>
      </c>
      <c r="K12" s="27">
        <f>Assumptions!F35</f>
        <v/>
      </c>
    </row>
    <row r="13">
      <c r="A13" t="inlineStr">
        <is>
          <t>CFO margin</t>
        </is>
      </c>
      <c r="H13" s="27">
        <f>Assumptions!C39</f>
        <v/>
      </c>
      <c r="I13" s="27">
        <f>Assumptions!D39</f>
        <v/>
      </c>
      <c r="J13" s="27">
        <f>Assumptions!E39</f>
        <v/>
      </c>
      <c r="K13" s="27">
        <f>Assumptions!F39</f>
        <v/>
      </c>
    </row>
    <row r="14">
      <c r="A14" t="inlineStr">
        <is>
          <t>Buyback (%/yr)</t>
        </is>
      </c>
      <c r="H14" s="27">
        <f>Assumptions!C43</f>
        <v/>
      </c>
      <c r="I14" s="27">
        <f>Assumptions!D43</f>
        <v/>
      </c>
      <c r="J14" s="27">
        <f>Assumptions!E43</f>
        <v/>
      </c>
      <c r="K14" s="27">
        <f>Assumptions!F43</f>
        <v/>
      </c>
    </row>
    <row r="16">
      <c r="A16" s="3" t="inlineStr">
        <is>
          <t>Income Statement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t="inlineStr">
        <is>
          <t>Revenue</t>
        </is>
      </c>
      <c r="B17" s="16" t="n">
        <v>4318</v>
      </c>
      <c r="C17" s="16" t="n">
        <v>5139</v>
      </c>
      <c r="D17" s="16" t="n">
        <v>6216</v>
      </c>
      <c r="E17" s="16" t="n">
        <v>7259</v>
      </c>
      <c r="F17" s="16" t="n">
        <v>8446</v>
      </c>
      <c r="G17" s="16" t="n">
        <v>9552</v>
      </c>
      <c r="H17" s="28">
        <f>G17*(1+Assumptions!C11)</f>
        <v/>
      </c>
      <c r="I17" s="28">
        <f>H17*(1+Assumptions!D11)</f>
        <v/>
      </c>
      <c r="J17" s="28">
        <f>I17*(1+Assumptions!E11)</f>
        <v/>
      </c>
      <c r="K17" s="28">
        <f>J17*(1+Assumptions!F11)</f>
        <v/>
      </c>
      <c r="M17" s="10">
        <f>IFERROR(IF(OR(B17&lt;=0,F17&lt;=0),"N/M",(F17/B17)^(1/4)-1), "N/M")</f>
        <v/>
      </c>
      <c r="N17" s="10">
        <f>IFERROR(IF(OR(G17&lt;=0,K17&lt;=0),"N/M",(K17/G17)^(1/4)-1), "N/M")</f>
        <v/>
      </c>
    </row>
    <row r="18">
      <c r="A18" t="inlineStr">
        <is>
          <t>Cost of revenue</t>
        </is>
      </c>
      <c r="B18" s="19" t="n">
        <v>1198.1</v>
      </c>
      <c r="C18" s="19" t="n">
        <v>1428</v>
      </c>
      <c r="D18" s="19" t="n">
        <v>1750</v>
      </c>
      <c r="E18" s="19" t="n">
        <v>1771</v>
      </c>
      <c r="F18" s="19" t="n">
        <v>2153</v>
      </c>
      <c r="G18" s="19" t="n">
        <v>2624</v>
      </c>
      <c r="H18" s="29">
        <f>H17*Assumptions!C19</f>
        <v/>
      </c>
      <c r="I18" s="29">
        <f>I17*Assumptions!D19</f>
        <v/>
      </c>
      <c r="J18" s="29">
        <f>J17*Assumptions!E19</f>
        <v/>
      </c>
      <c r="K18" s="29">
        <f>K17*Assumptions!F19</f>
        <v/>
      </c>
      <c r="M18" s="10">
        <f>IFERROR(IF(OR(B18&lt;=0,F18&lt;=0),"N/M",(F18/B18)^(1/4)-1), "N/M")</f>
        <v/>
      </c>
      <c r="N18" s="10">
        <f>IFERROR(IF(OR(G18&lt;=0,K18&lt;=0),"N/M",(K18/G18)^(1/4)-1), "N/M")</f>
        <v/>
      </c>
    </row>
    <row r="19">
      <c r="A19" s="2" t="inlineStr">
        <is>
          <t>Gross profit</t>
        </is>
      </c>
      <c r="B19" s="30">
        <f>B17-B18</f>
        <v/>
      </c>
      <c r="C19" s="30">
        <f>C17-C18</f>
        <v/>
      </c>
      <c r="D19" s="30">
        <f>D17-D18</f>
        <v/>
      </c>
      <c r="E19" s="30">
        <f>E17-E18</f>
        <v/>
      </c>
      <c r="F19" s="30">
        <f>F17-F18</f>
        <v/>
      </c>
      <c r="G19" s="30">
        <f>G17-G18</f>
        <v/>
      </c>
      <c r="H19" s="28">
        <f>H17-H18</f>
        <v/>
      </c>
      <c r="I19" s="28">
        <f>I17-I18</f>
        <v/>
      </c>
      <c r="J19" s="28">
        <f>J17-J18</f>
        <v/>
      </c>
      <c r="K19" s="28">
        <f>K17-K18</f>
        <v/>
      </c>
      <c r="M19" s="10">
        <f>IFERROR(IF(OR(B19&lt;=0,F19&lt;=0),"N/M",(F19/B19)^(1/4)-1), "N/M")</f>
        <v/>
      </c>
      <c r="N19" s="10">
        <f>IFERROR(IF(OR(G19&lt;=0,K19&lt;=0),"N/M",(K19/G19)^(1/4)-1), "N/M")</f>
        <v/>
      </c>
    </row>
    <row r="20">
      <c r="A20" t="inlineStr">
        <is>
          <t>R&amp;D</t>
        </is>
      </c>
      <c r="B20" s="19" t="n">
        <v>1721.2</v>
      </c>
      <c r="C20" s="19" t="n">
        <v>1879</v>
      </c>
      <c r="D20" s="19" t="n">
        <v>2247</v>
      </c>
      <c r="E20" s="19" t="n">
        <v>2464</v>
      </c>
      <c r="F20" s="19" t="n">
        <v>2626</v>
      </c>
      <c r="G20" s="19" t="n">
        <v>2679</v>
      </c>
      <c r="H20" s="29">
        <f>H17*Assumptions!C23</f>
        <v/>
      </c>
      <c r="I20" s="29">
        <f>I17*Assumptions!D23</f>
        <v/>
      </c>
      <c r="J20" s="29">
        <f>J17*Assumptions!E23</f>
        <v/>
      </c>
      <c r="K20" s="29">
        <f>K17*Assumptions!F23</f>
        <v/>
      </c>
      <c r="M20" s="10">
        <f>IFERROR(IF(OR(B20&lt;=0,F20&lt;=0),"N/M",(F20/B20)^(1/4)-1), "N/M")</f>
        <v/>
      </c>
      <c r="N20" s="10">
        <f>IFERROR(IF(OR(G20&lt;=0,K20&lt;=0),"N/M",(K20/G20)^(1/4)-1), "N/M")</f>
        <v/>
      </c>
    </row>
    <row r="21">
      <c r="A21" t="inlineStr">
        <is>
          <t>S&amp;M</t>
        </is>
      </c>
      <c r="B21" s="19" t="n">
        <v>1233.2</v>
      </c>
      <c r="C21" s="19" t="n">
        <v>1462</v>
      </c>
      <c r="D21" s="19" t="n">
        <v>1842</v>
      </c>
      <c r="E21" s="19" t="n">
        <v>2139</v>
      </c>
      <c r="F21" s="19" t="n">
        <v>2432</v>
      </c>
      <c r="G21" s="19" t="n">
        <v>2616</v>
      </c>
      <c r="H21" s="29">
        <f>H17*Assumptions!C27</f>
        <v/>
      </c>
      <c r="I21" s="29">
        <f>I17*Assumptions!D27</f>
        <v/>
      </c>
      <c r="J21" s="29">
        <f>J17*Assumptions!E27</f>
        <v/>
      </c>
      <c r="K21" s="29">
        <f>K17*Assumptions!F27</f>
        <v/>
      </c>
      <c r="M21" s="10">
        <f>IFERROR(IF(OR(B21&lt;=0,F21&lt;=0),"N/M",(F21/B21)^(1/4)-1), "N/M")</f>
        <v/>
      </c>
      <c r="N21" s="10">
        <f>IFERROR(IF(OR(G21&lt;=0,K21&lt;=0),"N/M",(K21/G21)^(1/4)-1), "N/M")</f>
        <v/>
      </c>
    </row>
    <row r="22">
      <c r="A22" t="inlineStr">
        <is>
          <t>G&amp;A</t>
        </is>
      </c>
      <c r="B22" s="19" t="n">
        <v>414.1</v>
      </c>
      <c r="C22" s="19" t="n">
        <v>486</v>
      </c>
      <c r="D22" s="19" t="n">
        <v>599</v>
      </c>
      <c r="E22" s="19" t="n">
        <v>702</v>
      </c>
      <c r="F22" s="19" t="n">
        <v>820</v>
      </c>
      <c r="G22" s="19" t="n">
        <v>912</v>
      </c>
      <c r="H22" s="29">
        <f>H17*Assumptions!C31</f>
        <v/>
      </c>
      <c r="I22" s="29">
        <f>I17*Assumptions!D31</f>
        <v/>
      </c>
      <c r="J22" s="29">
        <f>J17*Assumptions!E31</f>
        <v/>
      </c>
      <c r="K22" s="29">
        <f>K17*Assumptions!F31</f>
        <v/>
      </c>
      <c r="M22" s="10">
        <f>IFERROR(IF(OR(B22&lt;=0,F22&lt;=0),"N/M",(F22/B22)^(1/4)-1), "N/M")</f>
        <v/>
      </c>
      <c r="N22" s="10">
        <f>IFERROR(IF(OR(G22&lt;=0,K22&lt;=0),"N/M",(K22/G22)^(1/4)-1), "N/M")</f>
        <v/>
      </c>
    </row>
    <row r="23">
      <c r="A23" s="2" t="inlineStr">
        <is>
          <t>Operating income</t>
        </is>
      </c>
      <c r="B23" s="19" t="n">
        <v>-248.6</v>
      </c>
      <c r="C23" s="19" t="n">
        <v>-116</v>
      </c>
      <c r="D23" s="19" t="n">
        <v>-222</v>
      </c>
      <c r="E23" s="19" t="n">
        <v>183</v>
      </c>
      <c r="F23" s="19" t="n">
        <v>415</v>
      </c>
      <c r="G23" s="19" t="n">
        <v>721</v>
      </c>
      <c r="H23" s="29">
        <f>H19-H20-H21-H22-280</f>
        <v/>
      </c>
      <c r="I23" s="29">
        <f>I19-I20-I21-I22-300</f>
        <v/>
      </c>
      <c r="J23" s="29">
        <f>J19-J20-J21-J22-320</f>
        <v/>
      </c>
      <c r="K23" s="29">
        <f>K19-K20-K21-K22-340</f>
        <v/>
      </c>
      <c r="M23" s="10">
        <f>IFERROR(IF(OR(B23&lt;=0,F23&lt;=0),"N/M",(F23/B23)^(1/4)-1), "N/M")</f>
        <v/>
      </c>
      <c r="N23" s="10">
        <f>IFERROR(IF(OR(G23&lt;=0,K23&lt;=0),"N/M",(K23/G23)^(1/4)-1), "N/M")</f>
        <v/>
      </c>
    </row>
    <row r="24">
      <c r="A24" t="inlineStr">
        <is>
          <t>Operating margin %</t>
        </is>
      </c>
      <c r="B24" s="10">
        <f>IFERROR(B23/B17,"")</f>
        <v/>
      </c>
      <c r="C24" s="10">
        <f>IFERROR(C23/C17,"")</f>
        <v/>
      </c>
      <c r="D24" s="10">
        <f>IFERROR(D23/D17,"")</f>
        <v/>
      </c>
      <c r="E24" s="10">
        <f>IFERROR(E23/E17,"")</f>
        <v/>
      </c>
      <c r="F24" s="10">
        <f>IFERROR(F23/F17,"")</f>
        <v/>
      </c>
      <c r="G24" s="10">
        <f>IFERROR(G23/G17,"")</f>
        <v/>
      </c>
      <c r="H24" s="27">
        <f>IFERROR(H23/H17,"")</f>
        <v/>
      </c>
      <c r="I24" s="27">
        <f>IFERROR(I23/I17,"")</f>
        <v/>
      </c>
      <c r="J24" s="27">
        <f>IFERROR(J23/J17,"")</f>
        <v/>
      </c>
      <c r="K24" s="27">
        <f>IFERROR(K23/K17,"")</f>
        <v/>
      </c>
      <c r="M24" s="31">
        <f>IFERROR(F24-B24, "")</f>
        <v/>
      </c>
      <c r="N24" s="31">
        <f>IFERROR(K24-G24, "")</f>
        <v/>
      </c>
    </row>
    <row r="25">
      <c r="A25" t="inlineStr">
        <is>
          <t>Net income (GAAP)</t>
        </is>
      </c>
      <c r="B25" s="19" t="n">
        <v>-282.4</v>
      </c>
      <c r="C25" s="19" t="n">
        <v>29</v>
      </c>
      <c r="D25" s="19" t="n">
        <v>-367</v>
      </c>
      <c r="E25" s="19" t="n">
        <v>1381</v>
      </c>
      <c r="F25" s="19" t="n">
        <v>526</v>
      </c>
      <c r="G25" s="19" t="n">
        <v>693</v>
      </c>
      <c r="M25" s="10">
        <f>IFERROR(IF(OR(B25&lt;=0,F25&lt;=0),"N/M",(F25/B25)^(1/4)-1), "N/M")</f>
        <v/>
      </c>
      <c r="N25" s="10">
        <f>IFERROR(IF(OR(G25&lt;=0,K25&lt;=0),"N/M",(K25/G25)^(1/4)-1), "N/M")</f>
        <v/>
      </c>
    </row>
    <row r="27">
      <c r="A27" s="3" t="inlineStr">
        <is>
          <t>Cash Flow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t="inlineStr">
        <is>
          <t>Cash from operations</t>
        </is>
      </c>
      <c r="B28" s="16" t="n">
        <v>1268.4</v>
      </c>
      <c r="C28" s="16" t="n">
        <v>1651</v>
      </c>
      <c r="D28" s="16" t="n">
        <v>1657</v>
      </c>
      <c r="E28" s="16" t="n">
        <v>2149</v>
      </c>
      <c r="F28" s="16" t="n">
        <v>2461</v>
      </c>
      <c r="G28" s="16" t="n">
        <v>2939</v>
      </c>
      <c r="H28" s="28">
        <f>H17*Assumptions!C39</f>
        <v/>
      </c>
      <c r="I28" s="28">
        <f>I17*Assumptions!D39</f>
        <v/>
      </c>
      <c r="J28" s="28">
        <f>J17*Assumptions!E39</f>
        <v/>
      </c>
      <c r="K28" s="28">
        <f>K17*Assumptions!F39</f>
        <v/>
      </c>
      <c r="M28" s="10">
        <f>IFERROR(IF(OR(B28&lt;=0,F28&lt;=0),"N/M",(F28/B28)^(1/4)-1), "N/M")</f>
        <v/>
      </c>
      <c r="N28" s="10">
        <f>IFERROR(IF(OR(G28&lt;=0,K28&lt;=0),"N/M",(K28/G28)^(1/4)-1), "N/M")</f>
        <v/>
      </c>
    </row>
    <row r="29">
      <c r="A29" t="inlineStr">
        <is>
          <t>Capex (~2% rev)</t>
        </is>
      </c>
      <c r="B29" s="19" t="n"/>
      <c r="C29" s="19" t="n"/>
      <c r="D29" s="19" t="n">
        <v>364</v>
      </c>
      <c r="E29" s="19" t="n">
        <v>232</v>
      </c>
      <c r="F29" s="19" t="n">
        <v>269</v>
      </c>
      <c r="G29" s="19" t="n">
        <v>162</v>
      </c>
      <c r="H29" s="29">
        <f>H17*0.02</f>
        <v/>
      </c>
      <c r="I29" s="29">
        <f>I17*0.02</f>
        <v/>
      </c>
      <c r="J29" s="29">
        <f>J17*0.02</f>
        <v/>
      </c>
      <c r="K29" s="29">
        <f>K17*0.02</f>
        <v/>
      </c>
      <c r="M29" s="10">
        <f>IFERROR(IF(OR(B29&lt;=0,F29&lt;=0),"N/M",(F29/B29)^(1/4)-1), "N/M")</f>
        <v/>
      </c>
      <c r="N29" s="10">
        <f>IFERROR(IF(OR(G29&lt;=0,K29&lt;=0),"N/M",(K29/G29)^(1/4)-1), "N/M")</f>
        <v/>
      </c>
    </row>
    <row r="30">
      <c r="A30" s="2" t="inlineStr">
        <is>
          <t>Free cash flow</t>
        </is>
      </c>
      <c r="B30" s="30">
        <f>IFERROR(B28-B29,B28)</f>
        <v/>
      </c>
      <c r="C30" s="30">
        <f>IFERROR(C28-C29,C28)</f>
        <v/>
      </c>
      <c r="D30" s="30">
        <f>IFERROR(D28-D29,D28)</f>
        <v/>
      </c>
      <c r="E30" s="30">
        <f>IFERROR(E28-E29,E28)</f>
        <v/>
      </c>
      <c r="F30" s="30">
        <f>IFERROR(F28-F29,F28)</f>
        <v/>
      </c>
      <c r="G30" s="30">
        <f>IFERROR(G28-G29,G28)</f>
        <v/>
      </c>
      <c r="H30" s="28">
        <f>IFERROR(H28-H29,H28)</f>
        <v/>
      </c>
      <c r="I30" s="28">
        <f>IFERROR(I28-I29,I28)</f>
        <v/>
      </c>
      <c r="J30" s="28">
        <f>IFERROR(J28-J29,J28)</f>
        <v/>
      </c>
      <c r="K30" s="28">
        <f>IFERROR(K28-K29,K28)</f>
        <v/>
      </c>
      <c r="M30" s="10">
        <f>IFERROR(IF(OR(B30&lt;=0,F30&lt;=0),"N/M",(F30/B30)^(1/4)-1), "N/M")</f>
        <v/>
      </c>
      <c r="N30" s="10">
        <f>IFERROR(IF(OR(G30&lt;=0,K30&lt;=0),"N/M",(K30/G30)^(1/4)-1), "N/M")</f>
        <v/>
      </c>
    </row>
    <row r="31">
      <c r="A31" t="inlineStr">
        <is>
          <t>SBC</t>
        </is>
      </c>
      <c r="B31" s="19" t="n">
        <v>1004.9</v>
      </c>
      <c r="C31" s="19" t="n">
        <v>1101</v>
      </c>
      <c r="D31" s="19" t="n">
        <v>1295</v>
      </c>
      <c r="E31" s="19" t="n">
        <v>1416</v>
      </c>
      <c r="F31" s="19" t="n">
        <v>1519</v>
      </c>
      <c r="G31" s="19" t="n">
        <v>1626</v>
      </c>
      <c r="H31" s="29">
        <f>H17*Assumptions!C35</f>
        <v/>
      </c>
      <c r="I31" s="29">
        <f>I17*Assumptions!D35</f>
        <v/>
      </c>
      <c r="J31" s="29">
        <f>J17*Assumptions!E35</f>
        <v/>
      </c>
      <c r="K31" s="29">
        <f>K17*Assumptions!F35</f>
        <v/>
      </c>
      <c r="M31" s="10">
        <f>IFERROR(IF(OR(B31&lt;=0,F31&lt;=0),"N/M",(F31/B31)^(1/4)-1), "N/M")</f>
        <v/>
      </c>
      <c r="N31" s="10">
        <f>IFERROR(IF(OR(G31&lt;=0,K31&lt;=0),"N/M",(K31/G31)^(1/4)-1), "N/M")</f>
        <v/>
      </c>
    </row>
    <row r="32">
      <c r="A32" s="2" t="inlineStr">
        <is>
          <t>FCF − SBC</t>
        </is>
      </c>
      <c r="B32" s="21">
        <f>B30-B31</f>
        <v/>
      </c>
      <c r="C32" s="21">
        <f>C30-C31</f>
        <v/>
      </c>
      <c r="D32" s="21">
        <f>D30-D31</f>
        <v/>
      </c>
      <c r="E32" s="21">
        <f>E30-E31</f>
        <v/>
      </c>
      <c r="F32" s="21">
        <f>F30-F31</f>
        <v/>
      </c>
      <c r="G32" s="21">
        <f>G30-G31</f>
        <v/>
      </c>
      <c r="H32" s="29">
        <f>H30-H31</f>
        <v/>
      </c>
      <c r="I32" s="29">
        <f>I30-I31</f>
        <v/>
      </c>
      <c r="J32" s="29">
        <f>J30-J31</f>
        <v/>
      </c>
      <c r="K32" s="29">
        <f>K30-K31</f>
        <v/>
      </c>
      <c r="M32" s="10">
        <f>IFERROR(IF(OR(B32&lt;=0,F32&lt;=0),"N/M",(F32/B32)^(1/4)-1), "N/M")</f>
        <v/>
      </c>
      <c r="N32" s="10">
        <f>IFERROR(IF(OR(G32&lt;=0,K32&lt;=0),"N/M",(K32/G32)^(1/4)-1), "N/M")</f>
        <v/>
      </c>
    </row>
    <row r="34">
      <c r="A34" s="3" t="inlineStr">
        <is>
          <t>Per-share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t="inlineStr">
        <is>
          <t>Diluted shares (M)</t>
        </is>
      </c>
      <c r="B35" s="15" t="n">
        <v>237</v>
      </c>
      <c r="C35" s="15" t="n">
        <v>254</v>
      </c>
      <c r="D35" s="15" t="n">
        <v>254.8</v>
      </c>
      <c r="E35" s="15" t="n">
        <v>265.3</v>
      </c>
      <c r="F35" s="15" t="n">
        <v>269.2</v>
      </c>
      <c r="G35" s="15" t="n">
        <v>268.1</v>
      </c>
      <c r="H35" s="32">
        <f>G35*(1-Assumptions!C43)</f>
        <v/>
      </c>
      <c r="I35" s="32">
        <f>H35*(1-Assumptions!D43)</f>
        <v/>
      </c>
      <c r="J35" s="32">
        <f>I35*(1-Assumptions!E43)</f>
        <v/>
      </c>
      <c r="K35" s="32">
        <f>J35*(1-Assumptions!F43)</f>
        <v/>
      </c>
      <c r="M35" s="10">
        <f>IFERROR(IF(OR(B35&lt;=0,F35&lt;=0),"N/M",(F35/B35)^(1/4)-1), "N/M")</f>
        <v/>
      </c>
      <c r="N35" s="10">
        <f>IFERROR(IF(OR(G35&lt;=0,K35&lt;=0),"N/M",(K35/G35)^(1/4)-1), "N/M")</f>
        <v/>
      </c>
    </row>
    <row r="36">
      <c r="A36" t="inlineStr">
        <is>
          <t>FCF / share</t>
        </is>
      </c>
      <c r="B36" s="6">
        <f>IFERROR(B30/B35,"")</f>
        <v/>
      </c>
      <c r="C36" s="6">
        <f>IFERROR(C30/C35,"")</f>
        <v/>
      </c>
      <c r="D36" s="6">
        <f>IFERROR(D30/D35,"")</f>
        <v/>
      </c>
      <c r="E36" s="6">
        <f>IFERROR(E30/E35,"")</f>
        <v/>
      </c>
      <c r="F36" s="6">
        <f>IFERROR(F30/F35,"")</f>
        <v/>
      </c>
      <c r="G36" s="6">
        <f>IFERROR(G30/G35,"")</f>
        <v/>
      </c>
      <c r="H36" s="33">
        <f>IFERROR(H30/H35,"")</f>
        <v/>
      </c>
      <c r="I36" s="33">
        <f>IFERROR(I30/I35,"")</f>
        <v/>
      </c>
      <c r="J36" s="33">
        <f>IFERROR(J30/J35,"")</f>
        <v/>
      </c>
      <c r="K36" s="33">
        <f>IFERROR(K30/K35,"")</f>
        <v/>
      </c>
      <c r="M36" s="10">
        <f>IFERROR(IF(OR(B36&lt;=0,F36&lt;=0),"N/M",(F36/B36)^(1/4)-1), "N/M")</f>
        <v/>
      </c>
      <c r="N36" s="10">
        <f>IFERROR(IF(OR(G36&lt;=0,K36&lt;=0),"N/M",(K36/G36)^(1/4)-1), "N/M")</f>
        <v/>
      </c>
    </row>
    <row r="37">
      <c r="A37" t="inlineStr">
        <is>
          <t>12-mo backlog ($M)</t>
        </is>
      </c>
      <c r="E37" s="16" t="n">
        <v>6602</v>
      </c>
      <c r="F37" s="16" t="n">
        <v>7631</v>
      </c>
      <c r="G37" s="16" t="n">
        <v>8833</v>
      </c>
      <c r="H37" s="28">
        <f>G37*(1+Assumptions!C15)</f>
        <v/>
      </c>
      <c r="I37" s="28">
        <f>H37*(1+Assumptions!D15)</f>
        <v/>
      </c>
      <c r="J37" s="28">
        <f>I37*(1+Assumptions!E15)</f>
        <v/>
      </c>
      <c r="K37" s="28">
        <f>J37*(1+Assumptions!F15)</f>
        <v/>
      </c>
      <c r="M37" s="10">
        <f>IFERROR(IF(OR(B37&lt;=0,F37&lt;=0),"N/M",(F37/B37)^(1/4)-1), "N/M")</f>
        <v/>
      </c>
      <c r="N37" s="10">
        <f>IFERROR(IF(OR(G37&lt;=0,K37&lt;=0),"N/M",(K37/G37)^(1/4)-1), "N/M")</f>
        <v/>
      </c>
    </row>
    <row r="39">
      <c r="A39" s="3" t="inlineStr">
        <is>
          <t>Valuation (terminal = FY30)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2" t="inlineStr">
        <is>
          <t>Target ($/sh, ARR-lens)</t>
        </is>
      </c>
      <c r="K40" s="34">
        <f>(Assumptions!C47*K37+Assumptions!B7*1000)/K35</f>
        <v/>
      </c>
    </row>
    <row r="41">
      <c r="A41" s="2" t="inlineStr">
        <is>
          <t>Target ($/sh, FCF-lens)</t>
        </is>
      </c>
      <c r="K41" s="34">
        <f>(Assumptions!C50*K30+Assumptions!B7*1000)/K35</f>
        <v/>
      </c>
    </row>
    <row r="42">
      <c r="A42" s="2" t="inlineStr">
        <is>
          <t>Target (blended)</t>
        </is>
      </c>
      <c r="K42" s="35">
        <f>AVERAGE(K40,K41)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" customWidth="1" min="12" max="12"/>
    <col width="14" customWidth="1" min="13" max="13"/>
    <col width="14" customWidth="1" min="14" max="14"/>
  </cols>
  <sheetData>
    <row r="1">
      <c r="A1" s="1" t="inlineStr">
        <is>
          <t>WDAY forecast — Run For Cash</t>
        </is>
      </c>
    </row>
    <row r="3">
      <c r="A3" s="2" t="inlineStr">
        <is>
          <t>Period</t>
        </is>
      </c>
      <c r="B3" s="22" t="inlineStr">
        <is>
          <t>Actual</t>
        </is>
      </c>
      <c r="C3" s="22" t="inlineStr">
        <is>
          <t>Actual</t>
        </is>
      </c>
      <c r="D3" s="22" t="inlineStr">
        <is>
          <t>Actual</t>
        </is>
      </c>
      <c r="E3" s="22" t="inlineStr">
        <is>
          <t>Actual</t>
        </is>
      </c>
      <c r="F3" s="22" t="inlineStr">
        <is>
          <t>Actual</t>
        </is>
      </c>
      <c r="G3" s="22" t="inlineStr">
        <is>
          <t>Actual</t>
        </is>
      </c>
      <c r="H3" s="23" t="inlineStr">
        <is>
          <t>Forecast</t>
        </is>
      </c>
      <c r="I3" s="23" t="inlineStr">
        <is>
          <t>Forecast</t>
        </is>
      </c>
      <c r="J3" s="23" t="inlineStr">
        <is>
          <t>Forecast</t>
        </is>
      </c>
      <c r="K3" s="23" t="inlineStr">
        <is>
          <t>Forecast</t>
        </is>
      </c>
      <c r="L3" t="inlineStr"/>
      <c r="M3" s="24" t="inlineStr">
        <is>
          <t>CAGR</t>
        </is>
      </c>
      <c r="N3" s="24" t="inlineStr">
        <is>
          <t>CAGR</t>
        </is>
      </c>
    </row>
    <row r="4">
      <c r="A4" s="2" t="inlineStr">
        <is>
          <t>$M unless noted</t>
        </is>
      </c>
      <c r="B4" s="4" t="inlineStr">
        <is>
          <t>FY21A</t>
        </is>
      </c>
      <c r="C4" s="4" t="inlineStr">
        <is>
          <t>FY22A</t>
        </is>
      </c>
      <c r="D4" s="4" t="inlineStr">
        <is>
          <t>FY23A</t>
        </is>
      </c>
      <c r="E4" s="4" t="inlineStr">
        <is>
          <t>FY24A</t>
        </is>
      </c>
      <c r="F4" s="4" t="inlineStr">
        <is>
          <t>FY25A</t>
        </is>
      </c>
      <c r="G4" s="4" t="inlineStr">
        <is>
          <t>FY26A</t>
        </is>
      </c>
      <c r="H4" s="25" t="inlineStr">
        <is>
          <t>FY27E</t>
        </is>
      </c>
      <c r="I4" s="25" t="inlineStr">
        <is>
          <t>FY28E</t>
        </is>
      </c>
      <c r="J4" s="25" t="inlineStr">
        <is>
          <t>FY29E</t>
        </is>
      </c>
      <c r="K4" s="25" t="inlineStr">
        <is>
          <t>FY30E</t>
        </is>
      </c>
      <c r="L4" t="inlineStr"/>
      <c r="M4" s="26" t="inlineStr">
        <is>
          <t>CAGR FY21-25</t>
        </is>
      </c>
      <c r="N4" s="26" t="inlineStr">
        <is>
          <t>CAGR FY26-30</t>
        </is>
      </c>
    </row>
    <row r="5">
      <c r="A5" s="3" t="inlineStr">
        <is>
          <t>Drivers (from Assumptions tab)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t="inlineStr">
        <is>
          <t>Revenue growth %</t>
        </is>
      </c>
      <c r="H6" s="27">
        <f>Assumptions!C12</f>
        <v/>
      </c>
      <c r="I6" s="27">
        <f>Assumptions!D12</f>
        <v/>
      </c>
      <c r="J6" s="27">
        <f>Assumptions!E12</f>
        <v/>
      </c>
      <c r="K6" s="27">
        <f>Assumptions!F12</f>
        <v/>
      </c>
    </row>
    <row r="7">
      <c r="A7" t="inlineStr">
        <is>
          <t>Backlog growth %</t>
        </is>
      </c>
      <c r="H7" s="27">
        <f>Assumptions!C16</f>
        <v/>
      </c>
      <c r="I7" s="27">
        <f>Assumptions!D16</f>
        <v/>
      </c>
      <c r="J7" s="27">
        <f>Assumptions!E16</f>
        <v/>
      </c>
      <c r="K7" s="27">
        <f>Assumptions!F16</f>
        <v/>
      </c>
    </row>
    <row r="8">
      <c r="A8" t="inlineStr">
        <is>
          <t>Cost of rev (% rev)</t>
        </is>
      </c>
      <c r="H8" s="27">
        <f>Assumptions!C20</f>
        <v/>
      </c>
      <c r="I8" s="27">
        <f>Assumptions!D20</f>
        <v/>
      </c>
      <c r="J8" s="27">
        <f>Assumptions!E20</f>
        <v/>
      </c>
      <c r="K8" s="27">
        <f>Assumptions!F20</f>
        <v/>
      </c>
    </row>
    <row r="9">
      <c r="A9" t="inlineStr">
        <is>
          <t>R&amp;D (% rev)</t>
        </is>
      </c>
      <c r="H9" s="27">
        <f>Assumptions!C24</f>
        <v/>
      </c>
      <c r="I9" s="27">
        <f>Assumptions!D24</f>
        <v/>
      </c>
      <c r="J9" s="27">
        <f>Assumptions!E24</f>
        <v/>
      </c>
      <c r="K9" s="27">
        <f>Assumptions!F24</f>
        <v/>
      </c>
    </row>
    <row r="10">
      <c r="A10" t="inlineStr">
        <is>
          <t>S&amp;M (% rev)</t>
        </is>
      </c>
      <c r="H10" s="27">
        <f>Assumptions!C28</f>
        <v/>
      </c>
      <c r="I10" s="27">
        <f>Assumptions!D28</f>
        <v/>
      </c>
      <c r="J10" s="27">
        <f>Assumptions!E28</f>
        <v/>
      </c>
      <c r="K10" s="27">
        <f>Assumptions!F28</f>
        <v/>
      </c>
    </row>
    <row r="11">
      <c r="A11" t="inlineStr">
        <is>
          <t>G&amp;A (% rev)</t>
        </is>
      </c>
      <c r="H11" s="27">
        <f>Assumptions!C32</f>
        <v/>
      </c>
      <c r="I11" s="27">
        <f>Assumptions!D32</f>
        <v/>
      </c>
      <c r="J11" s="27">
        <f>Assumptions!E32</f>
        <v/>
      </c>
      <c r="K11" s="27">
        <f>Assumptions!F32</f>
        <v/>
      </c>
    </row>
    <row r="12">
      <c r="A12" t="inlineStr">
        <is>
          <t>SBC (% rev)</t>
        </is>
      </c>
      <c r="H12" s="27">
        <f>Assumptions!C36</f>
        <v/>
      </c>
      <c r="I12" s="27">
        <f>Assumptions!D36</f>
        <v/>
      </c>
      <c r="J12" s="27">
        <f>Assumptions!E36</f>
        <v/>
      </c>
      <c r="K12" s="27">
        <f>Assumptions!F36</f>
        <v/>
      </c>
    </row>
    <row r="13">
      <c r="A13" t="inlineStr">
        <is>
          <t>CFO margin</t>
        </is>
      </c>
      <c r="H13" s="27">
        <f>Assumptions!C40</f>
        <v/>
      </c>
      <c r="I13" s="27">
        <f>Assumptions!D40</f>
        <v/>
      </c>
      <c r="J13" s="27">
        <f>Assumptions!E40</f>
        <v/>
      </c>
      <c r="K13" s="27">
        <f>Assumptions!F40</f>
        <v/>
      </c>
    </row>
    <row r="14">
      <c r="A14" t="inlineStr">
        <is>
          <t>Buyback (%/yr)</t>
        </is>
      </c>
      <c r="H14" s="27">
        <f>Assumptions!C44</f>
        <v/>
      </c>
      <c r="I14" s="27">
        <f>Assumptions!D44</f>
        <v/>
      </c>
      <c r="J14" s="27">
        <f>Assumptions!E44</f>
        <v/>
      </c>
      <c r="K14" s="27">
        <f>Assumptions!F44</f>
        <v/>
      </c>
    </row>
    <row r="16">
      <c r="A16" s="3" t="inlineStr">
        <is>
          <t>Income Statement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t="inlineStr">
        <is>
          <t>Revenue</t>
        </is>
      </c>
      <c r="B17" s="16" t="n">
        <v>4318</v>
      </c>
      <c r="C17" s="16" t="n">
        <v>5139</v>
      </c>
      <c r="D17" s="16" t="n">
        <v>6216</v>
      </c>
      <c r="E17" s="16" t="n">
        <v>7259</v>
      </c>
      <c r="F17" s="16" t="n">
        <v>8446</v>
      </c>
      <c r="G17" s="16" t="n">
        <v>9552</v>
      </c>
      <c r="H17" s="28">
        <f>G17*(1+Assumptions!C12)</f>
        <v/>
      </c>
      <c r="I17" s="28">
        <f>H17*(1+Assumptions!D12)</f>
        <v/>
      </c>
      <c r="J17" s="28">
        <f>I17*(1+Assumptions!E12)</f>
        <v/>
      </c>
      <c r="K17" s="28">
        <f>J17*(1+Assumptions!F12)</f>
        <v/>
      </c>
      <c r="M17" s="10">
        <f>IFERROR(IF(OR(B17&lt;=0,F17&lt;=0),"N/M",(F17/B17)^(1/4)-1), "N/M")</f>
        <v/>
      </c>
      <c r="N17" s="10">
        <f>IFERROR(IF(OR(G17&lt;=0,K17&lt;=0),"N/M",(K17/G17)^(1/4)-1), "N/M")</f>
        <v/>
      </c>
    </row>
    <row r="18">
      <c r="A18" t="inlineStr">
        <is>
          <t>Cost of revenue</t>
        </is>
      </c>
      <c r="B18" s="19" t="n">
        <v>1198.1</v>
      </c>
      <c r="C18" s="19" t="n">
        <v>1428</v>
      </c>
      <c r="D18" s="19" t="n">
        <v>1750</v>
      </c>
      <c r="E18" s="19" t="n">
        <v>1771</v>
      </c>
      <c r="F18" s="19" t="n">
        <v>2153</v>
      </c>
      <c r="G18" s="19" t="n">
        <v>2624</v>
      </c>
      <c r="H18" s="29">
        <f>H17*Assumptions!C20</f>
        <v/>
      </c>
      <c r="I18" s="29">
        <f>I17*Assumptions!D20</f>
        <v/>
      </c>
      <c r="J18" s="29">
        <f>J17*Assumptions!E20</f>
        <v/>
      </c>
      <c r="K18" s="29">
        <f>K17*Assumptions!F20</f>
        <v/>
      </c>
      <c r="M18" s="10">
        <f>IFERROR(IF(OR(B18&lt;=0,F18&lt;=0),"N/M",(F18/B18)^(1/4)-1), "N/M")</f>
        <v/>
      </c>
      <c r="N18" s="10">
        <f>IFERROR(IF(OR(G18&lt;=0,K18&lt;=0),"N/M",(K18/G18)^(1/4)-1), "N/M")</f>
        <v/>
      </c>
    </row>
    <row r="19">
      <c r="A19" s="2" t="inlineStr">
        <is>
          <t>Gross profit</t>
        </is>
      </c>
      <c r="B19" s="30">
        <f>B17-B18</f>
        <v/>
      </c>
      <c r="C19" s="30">
        <f>C17-C18</f>
        <v/>
      </c>
      <c r="D19" s="30">
        <f>D17-D18</f>
        <v/>
      </c>
      <c r="E19" s="30">
        <f>E17-E18</f>
        <v/>
      </c>
      <c r="F19" s="30">
        <f>F17-F18</f>
        <v/>
      </c>
      <c r="G19" s="30">
        <f>G17-G18</f>
        <v/>
      </c>
      <c r="H19" s="28">
        <f>H17-H18</f>
        <v/>
      </c>
      <c r="I19" s="28">
        <f>I17-I18</f>
        <v/>
      </c>
      <c r="J19" s="28">
        <f>J17-J18</f>
        <v/>
      </c>
      <c r="K19" s="28">
        <f>K17-K18</f>
        <v/>
      </c>
      <c r="M19" s="10">
        <f>IFERROR(IF(OR(B19&lt;=0,F19&lt;=0),"N/M",(F19/B19)^(1/4)-1), "N/M")</f>
        <v/>
      </c>
      <c r="N19" s="10">
        <f>IFERROR(IF(OR(G19&lt;=0,K19&lt;=0),"N/M",(K19/G19)^(1/4)-1), "N/M")</f>
        <v/>
      </c>
    </row>
    <row r="20">
      <c r="A20" t="inlineStr">
        <is>
          <t>R&amp;D</t>
        </is>
      </c>
      <c r="B20" s="19" t="n">
        <v>1721.2</v>
      </c>
      <c r="C20" s="19" t="n">
        <v>1879</v>
      </c>
      <c r="D20" s="19" t="n">
        <v>2247</v>
      </c>
      <c r="E20" s="19" t="n">
        <v>2464</v>
      </c>
      <c r="F20" s="19" t="n">
        <v>2626</v>
      </c>
      <c r="G20" s="19" t="n">
        <v>2679</v>
      </c>
      <c r="H20" s="29">
        <f>H17*Assumptions!C24</f>
        <v/>
      </c>
      <c r="I20" s="29">
        <f>I17*Assumptions!D24</f>
        <v/>
      </c>
      <c r="J20" s="29">
        <f>J17*Assumptions!E24</f>
        <v/>
      </c>
      <c r="K20" s="29">
        <f>K17*Assumptions!F24</f>
        <v/>
      </c>
      <c r="M20" s="10">
        <f>IFERROR(IF(OR(B20&lt;=0,F20&lt;=0),"N/M",(F20/B20)^(1/4)-1), "N/M")</f>
        <v/>
      </c>
      <c r="N20" s="10">
        <f>IFERROR(IF(OR(G20&lt;=0,K20&lt;=0),"N/M",(K20/G20)^(1/4)-1), "N/M")</f>
        <v/>
      </c>
    </row>
    <row r="21">
      <c r="A21" t="inlineStr">
        <is>
          <t>S&amp;M</t>
        </is>
      </c>
      <c r="B21" s="19" t="n">
        <v>1233.2</v>
      </c>
      <c r="C21" s="19" t="n">
        <v>1462</v>
      </c>
      <c r="D21" s="19" t="n">
        <v>1842</v>
      </c>
      <c r="E21" s="19" t="n">
        <v>2139</v>
      </c>
      <c r="F21" s="19" t="n">
        <v>2432</v>
      </c>
      <c r="G21" s="19" t="n">
        <v>2616</v>
      </c>
      <c r="H21" s="29">
        <f>H17*Assumptions!C28</f>
        <v/>
      </c>
      <c r="I21" s="29">
        <f>I17*Assumptions!D28</f>
        <v/>
      </c>
      <c r="J21" s="29">
        <f>J17*Assumptions!E28</f>
        <v/>
      </c>
      <c r="K21" s="29">
        <f>K17*Assumptions!F28</f>
        <v/>
      </c>
      <c r="M21" s="10">
        <f>IFERROR(IF(OR(B21&lt;=0,F21&lt;=0),"N/M",(F21/B21)^(1/4)-1), "N/M")</f>
        <v/>
      </c>
      <c r="N21" s="10">
        <f>IFERROR(IF(OR(G21&lt;=0,K21&lt;=0),"N/M",(K21/G21)^(1/4)-1), "N/M")</f>
        <v/>
      </c>
    </row>
    <row r="22">
      <c r="A22" t="inlineStr">
        <is>
          <t>G&amp;A</t>
        </is>
      </c>
      <c r="B22" s="19" t="n">
        <v>414.1</v>
      </c>
      <c r="C22" s="19" t="n">
        <v>486</v>
      </c>
      <c r="D22" s="19" t="n">
        <v>599</v>
      </c>
      <c r="E22" s="19" t="n">
        <v>702</v>
      </c>
      <c r="F22" s="19" t="n">
        <v>820</v>
      </c>
      <c r="G22" s="19" t="n">
        <v>912</v>
      </c>
      <c r="H22" s="29">
        <f>H17*Assumptions!C32</f>
        <v/>
      </c>
      <c r="I22" s="29">
        <f>I17*Assumptions!D32</f>
        <v/>
      </c>
      <c r="J22" s="29">
        <f>J17*Assumptions!E32</f>
        <v/>
      </c>
      <c r="K22" s="29">
        <f>K17*Assumptions!F32</f>
        <v/>
      </c>
      <c r="M22" s="10">
        <f>IFERROR(IF(OR(B22&lt;=0,F22&lt;=0),"N/M",(F22/B22)^(1/4)-1), "N/M")</f>
        <v/>
      </c>
      <c r="N22" s="10">
        <f>IFERROR(IF(OR(G22&lt;=0,K22&lt;=0),"N/M",(K22/G22)^(1/4)-1), "N/M")</f>
        <v/>
      </c>
    </row>
    <row r="23">
      <c r="A23" s="2" t="inlineStr">
        <is>
          <t>Operating income</t>
        </is>
      </c>
      <c r="B23" s="19" t="n">
        <v>-248.6</v>
      </c>
      <c r="C23" s="19" t="n">
        <v>-116</v>
      </c>
      <c r="D23" s="19" t="n">
        <v>-222</v>
      </c>
      <c r="E23" s="19" t="n">
        <v>183</v>
      </c>
      <c r="F23" s="19" t="n">
        <v>415</v>
      </c>
      <c r="G23" s="19" t="n">
        <v>721</v>
      </c>
      <c r="H23" s="29">
        <f>H19-H20-H21-H22-280</f>
        <v/>
      </c>
      <c r="I23" s="29">
        <f>I19-I20-I21-I22-300</f>
        <v/>
      </c>
      <c r="J23" s="29">
        <f>J19-J20-J21-J22-320</f>
        <v/>
      </c>
      <c r="K23" s="29">
        <f>K19-K20-K21-K22-340</f>
        <v/>
      </c>
      <c r="M23" s="10">
        <f>IFERROR(IF(OR(B23&lt;=0,F23&lt;=0),"N/M",(F23/B23)^(1/4)-1), "N/M")</f>
        <v/>
      </c>
      <c r="N23" s="10">
        <f>IFERROR(IF(OR(G23&lt;=0,K23&lt;=0),"N/M",(K23/G23)^(1/4)-1), "N/M")</f>
        <v/>
      </c>
    </row>
    <row r="24">
      <c r="A24" t="inlineStr">
        <is>
          <t>Operating margin %</t>
        </is>
      </c>
      <c r="B24" s="10">
        <f>IFERROR(B23/B17,"")</f>
        <v/>
      </c>
      <c r="C24" s="10">
        <f>IFERROR(C23/C17,"")</f>
        <v/>
      </c>
      <c r="D24" s="10">
        <f>IFERROR(D23/D17,"")</f>
        <v/>
      </c>
      <c r="E24" s="10">
        <f>IFERROR(E23/E17,"")</f>
        <v/>
      </c>
      <c r="F24" s="10">
        <f>IFERROR(F23/F17,"")</f>
        <v/>
      </c>
      <c r="G24" s="10">
        <f>IFERROR(G23/G17,"")</f>
        <v/>
      </c>
      <c r="H24" s="27">
        <f>IFERROR(H23/H17,"")</f>
        <v/>
      </c>
      <c r="I24" s="27">
        <f>IFERROR(I23/I17,"")</f>
        <v/>
      </c>
      <c r="J24" s="27">
        <f>IFERROR(J23/J17,"")</f>
        <v/>
      </c>
      <c r="K24" s="27">
        <f>IFERROR(K23/K17,"")</f>
        <v/>
      </c>
      <c r="M24" s="31">
        <f>IFERROR(F24-B24, "")</f>
        <v/>
      </c>
      <c r="N24" s="31">
        <f>IFERROR(K24-G24, "")</f>
        <v/>
      </c>
    </row>
    <row r="25">
      <c r="A25" t="inlineStr">
        <is>
          <t>Net income (GAAP)</t>
        </is>
      </c>
      <c r="B25" s="19" t="n">
        <v>-282.4</v>
      </c>
      <c r="C25" s="19" t="n">
        <v>29</v>
      </c>
      <c r="D25" s="19" t="n">
        <v>-367</v>
      </c>
      <c r="E25" s="19" t="n">
        <v>1381</v>
      </c>
      <c r="F25" s="19" t="n">
        <v>526</v>
      </c>
      <c r="G25" s="19" t="n">
        <v>693</v>
      </c>
      <c r="M25" s="10">
        <f>IFERROR(IF(OR(B25&lt;=0,F25&lt;=0),"N/M",(F25/B25)^(1/4)-1), "N/M")</f>
        <v/>
      </c>
      <c r="N25" s="10">
        <f>IFERROR(IF(OR(G25&lt;=0,K25&lt;=0),"N/M",(K25/G25)^(1/4)-1), "N/M")</f>
        <v/>
      </c>
    </row>
    <row r="27">
      <c r="A27" s="3" t="inlineStr">
        <is>
          <t>Cash Flow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t="inlineStr">
        <is>
          <t>Cash from operations</t>
        </is>
      </c>
      <c r="B28" s="16" t="n">
        <v>1268.4</v>
      </c>
      <c r="C28" s="16" t="n">
        <v>1651</v>
      </c>
      <c r="D28" s="16" t="n">
        <v>1657</v>
      </c>
      <c r="E28" s="16" t="n">
        <v>2149</v>
      </c>
      <c r="F28" s="16" t="n">
        <v>2461</v>
      </c>
      <c r="G28" s="16" t="n">
        <v>2939</v>
      </c>
      <c r="H28" s="28">
        <f>H17*Assumptions!C40</f>
        <v/>
      </c>
      <c r="I28" s="28">
        <f>I17*Assumptions!D40</f>
        <v/>
      </c>
      <c r="J28" s="28">
        <f>J17*Assumptions!E40</f>
        <v/>
      </c>
      <c r="K28" s="28">
        <f>K17*Assumptions!F40</f>
        <v/>
      </c>
      <c r="M28" s="10">
        <f>IFERROR(IF(OR(B28&lt;=0,F28&lt;=0),"N/M",(F28/B28)^(1/4)-1), "N/M")</f>
        <v/>
      </c>
      <c r="N28" s="10">
        <f>IFERROR(IF(OR(G28&lt;=0,K28&lt;=0),"N/M",(K28/G28)^(1/4)-1), "N/M")</f>
        <v/>
      </c>
    </row>
    <row r="29">
      <c r="A29" t="inlineStr">
        <is>
          <t>Capex (~2% rev)</t>
        </is>
      </c>
      <c r="B29" s="19" t="n"/>
      <c r="C29" s="19" t="n"/>
      <c r="D29" s="19" t="n">
        <v>364</v>
      </c>
      <c r="E29" s="19" t="n">
        <v>232</v>
      </c>
      <c r="F29" s="19" t="n">
        <v>269</v>
      </c>
      <c r="G29" s="19" t="n">
        <v>162</v>
      </c>
      <c r="H29" s="29">
        <f>H17*0.02</f>
        <v/>
      </c>
      <c r="I29" s="29">
        <f>I17*0.02</f>
        <v/>
      </c>
      <c r="J29" s="29">
        <f>J17*0.02</f>
        <v/>
      </c>
      <c r="K29" s="29">
        <f>K17*0.02</f>
        <v/>
      </c>
      <c r="M29" s="10">
        <f>IFERROR(IF(OR(B29&lt;=0,F29&lt;=0),"N/M",(F29/B29)^(1/4)-1), "N/M")</f>
        <v/>
      </c>
      <c r="N29" s="10">
        <f>IFERROR(IF(OR(G29&lt;=0,K29&lt;=0),"N/M",(K29/G29)^(1/4)-1), "N/M")</f>
        <v/>
      </c>
    </row>
    <row r="30">
      <c r="A30" s="2" t="inlineStr">
        <is>
          <t>Free cash flow</t>
        </is>
      </c>
      <c r="B30" s="30">
        <f>IFERROR(B28-B29,B28)</f>
        <v/>
      </c>
      <c r="C30" s="30">
        <f>IFERROR(C28-C29,C28)</f>
        <v/>
      </c>
      <c r="D30" s="30">
        <f>IFERROR(D28-D29,D28)</f>
        <v/>
      </c>
      <c r="E30" s="30">
        <f>IFERROR(E28-E29,E28)</f>
        <v/>
      </c>
      <c r="F30" s="30">
        <f>IFERROR(F28-F29,F28)</f>
        <v/>
      </c>
      <c r="G30" s="30">
        <f>IFERROR(G28-G29,G28)</f>
        <v/>
      </c>
      <c r="H30" s="28">
        <f>IFERROR(H28-H29,H28)</f>
        <v/>
      </c>
      <c r="I30" s="28">
        <f>IFERROR(I28-I29,I28)</f>
        <v/>
      </c>
      <c r="J30" s="28">
        <f>IFERROR(J28-J29,J28)</f>
        <v/>
      </c>
      <c r="K30" s="28">
        <f>IFERROR(K28-K29,K28)</f>
        <v/>
      </c>
      <c r="M30" s="10">
        <f>IFERROR(IF(OR(B30&lt;=0,F30&lt;=0),"N/M",(F30/B30)^(1/4)-1), "N/M")</f>
        <v/>
      </c>
      <c r="N30" s="10">
        <f>IFERROR(IF(OR(G30&lt;=0,K30&lt;=0),"N/M",(K30/G30)^(1/4)-1), "N/M")</f>
        <v/>
      </c>
    </row>
    <row r="31">
      <c r="A31" t="inlineStr">
        <is>
          <t>SBC</t>
        </is>
      </c>
      <c r="B31" s="19" t="n">
        <v>1004.9</v>
      </c>
      <c r="C31" s="19" t="n">
        <v>1101</v>
      </c>
      <c r="D31" s="19" t="n">
        <v>1295</v>
      </c>
      <c r="E31" s="19" t="n">
        <v>1416</v>
      </c>
      <c r="F31" s="19" t="n">
        <v>1519</v>
      </c>
      <c r="G31" s="19" t="n">
        <v>1626</v>
      </c>
      <c r="H31" s="29">
        <f>H17*Assumptions!C36</f>
        <v/>
      </c>
      <c r="I31" s="29">
        <f>I17*Assumptions!D36</f>
        <v/>
      </c>
      <c r="J31" s="29">
        <f>J17*Assumptions!E36</f>
        <v/>
      </c>
      <c r="K31" s="29">
        <f>K17*Assumptions!F36</f>
        <v/>
      </c>
      <c r="M31" s="10">
        <f>IFERROR(IF(OR(B31&lt;=0,F31&lt;=0),"N/M",(F31/B31)^(1/4)-1), "N/M")</f>
        <v/>
      </c>
      <c r="N31" s="10">
        <f>IFERROR(IF(OR(G31&lt;=0,K31&lt;=0),"N/M",(K31/G31)^(1/4)-1), "N/M")</f>
        <v/>
      </c>
    </row>
    <row r="32">
      <c r="A32" s="2" t="inlineStr">
        <is>
          <t>FCF − SBC</t>
        </is>
      </c>
      <c r="B32" s="21">
        <f>B30-B31</f>
        <v/>
      </c>
      <c r="C32" s="21">
        <f>C30-C31</f>
        <v/>
      </c>
      <c r="D32" s="21">
        <f>D30-D31</f>
        <v/>
      </c>
      <c r="E32" s="21">
        <f>E30-E31</f>
        <v/>
      </c>
      <c r="F32" s="21">
        <f>F30-F31</f>
        <v/>
      </c>
      <c r="G32" s="21">
        <f>G30-G31</f>
        <v/>
      </c>
      <c r="H32" s="29">
        <f>H30-H31</f>
        <v/>
      </c>
      <c r="I32" s="29">
        <f>I30-I31</f>
        <v/>
      </c>
      <c r="J32" s="29">
        <f>J30-J31</f>
        <v/>
      </c>
      <c r="K32" s="29">
        <f>K30-K31</f>
        <v/>
      </c>
      <c r="M32" s="10">
        <f>IFERROR(IF(OR(B32&lt;=0,F32&lt;=0),"N/M",(F32/B32)^(1/4)-1), "N/M")</f>
        <v/>
      </c>
      <c r="N32" s="10">
        <f>IFERROR(IF(OR(G32&lt;=0,K32&lt;=0),"N/M",(K32/G32)^(1/4)-1), "N/M")</f>
        <v/>
      </c>
    </row>
    <row r="34">
      <c r="A34" s="3" t="inlineStr">
        <is>
          <t>Per-share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t="inlineStr">
        <is>
          <t>Diluted shares (M)</t>
        </is>
      </c>
      <c r="B35" s="15" t="n">
        <v>237</v>
      </c>
      <c r="C35" s="15" t="n">
        <v>254</v>
      </c>
      <c r="D35" s="15" t="n">
        <v>254.8</v>
      </c>
      <c r="E35" s="15" t="n">
        <v>265.3</v>
      </c>
      <c r="F35" s="15" t="n">
        <v>269.2</v>
      </c>
      <c r="G35" s="15" t="n">
        <v>268.1</v>
      </c>
      <c r="H35" s="32">
        <f>G35*(1-Assumptions!C44)</f>
        <v/>
      </c>
      <c r="I35" s="32">
        <f>H35*(1-Assumptions!D44)</f>
        <v/>
      </c>
      <c r="J35" s="32">
        <f>I35*(1-Assumptions!E44)</f>
        <v/>
      </c>
      <c r="K35" s="32">
        <f>J35*(1-Assumptions!F44)</f>
        <v/>
      </c>
      <c r="M35" s="10">
        <f>IFERROR(IF(OR(B35&lt;=0,F35&lt;=0),"N/M",(F35/B35)^(1/4)-1), "N/M")</f>
        <v/>
      </c>
      <c r="N35" s="10">
        <f>IFERROR(IF(OR(G35&lt;=0,K35&lt;=0),"N/M",(K35/G35)^(1/4)-1), "N/M")</f>
        <v/>
      </c>
    </row>
    <row r="36">
      <c r="A36" t="inlineStr">
        <is>
          <t>FCF / share</t>
        </is>
      </c>
      <c r="B36" s="6">
        <f>IFERROR(B30/B35,"")</f>
        <v/>
      </c>
      <c r="C36" s="6">
        <f>IFERROR(C30/C35,"")</f>
        <v/>
      </c>
      <c r="D36" s="6">
        <f>IFERROR(D30/D35,"")</f>
        <v/>
      </c>
      <c r="E36" s="6">
        <f>IFERROR(E30/E35,"")</f>
        <v/>
      </c>
      <c r="F36" s="6">
        <f>IFERROR(F30/F35,"")</f>
        <v/>
      </c>
      <c r="G36" s="6">
        <f>IFERROR(G30/G35,"")</f>
        <v/>
      </c>
      <c r="H36" s="33">
        <f>IFERROR(H30/H35,"")</f>
        <v/>
      </c>
      <c r="I36" s="33">
        <f>IFERROR(I30/I35,"")</f>
        <v/>
      </c>
      <c r="J36" s="33">
        <f>IFERROR(J30/J35,"")</f>
        <v/>
      </c>
      <c r="K36" s="33">
        <f>IFERROR(K30/K35,"")</f>
        <v/>
      </c>
      <c r="M36" s="10">
        <f>IFERROR(IF(OR(B36&lt;=0,F36&lt;=0),"N/M",(F36/B36)^(1/4)-1), "N/M")</f>
        <v/>
      </c>
      <c r="N36" s="10">
        <f>IFERROR(IF(OR(G36&lt;=0,K36&lt;=0),"N/M",(K36/G36)^(1/4)-1), "N/M")</f>
        <v/>
      </c>
    </row>
    <row r="37">
      <c r="A37" t="inlineStr">
        <is>
          <t>12-mo backlog ($M)</t>
        </is>
      </c>
      <c r="E37" s="16" t="n">
        <v>6602</v>
      </c>
      <c r="F37" s="16" t="n">
        <v>7631</v>
      </c>
      <c r="G37" s="16" t="n">
        <v>8833</v>
      </c>
      <c r="H37" s="28">
        <f>G37*(1+Assumptions!C16)</f>
        <v/>
      </c>
      <c r="I37" s="28">
        <f>H37*(1+Assumptions!D16)</f>
        <v/>
      </c>
      <c r="J37" s="28">
        <f>I37*(1+Assumptions!E16)</f>
        <v/>
      </c>
      <c r="K37" s="28">
        <f>J37*(1+Assumptions!F16)</f>
        <v/>
      </c>
      <c r="M37" s="10">
        <f>IFERROR(IF(OR(B37&lt;=0,F37&lt;=0),"N/M",(F37/B37)^(1/4)-1), "N/M")</f>
        <v/>
      </c>
      <c r="N37" s="10">
        <f>IFERROR(IF(OR(G37&lt;=0,K37&lt;=0),"N/M",(K37/G37)^(1/4)-1), "N/M")</f>
        <v/>
      </c>
    </row>
    <row r="39">
      <c r="A39" s="3" t="inlineStr">
        <is>
          <t>Valuation (terminal = FY30)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2" t="inlineStr">
        <is>
          <t>Target ($/sh, ARR-lens)</t>
        </is>
      </c>
      <c r="K40" s="34">
        <f>(Assumptions!C48*K37+Assumptions!B7*1000)/K35</f>
        <v/>
      </c>
    </row>
    <row r="41">
      <c r="A41" s="2" t="inlineStr">
        <is>
          <t>Target ($/sh, FCF-lens)</t>
        </is>
      </c>
      <c r="K41" s="34">
        <f>(Assumptions!C51*K30+Assumptions!B7*1000)/K35</f>
        <v/>
      </c>
    </row>
    <row r="42">
      <c r="A42" s="2" t="inlineStr">
        <is>
          <t>Target (blended)</t>
        </is>
      </c>
      <c r="K42" s="35">
        <f>AVERAGE(K40,K41)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" customWidth="1" min="12" max="12"/>
    <col width="14" customWidth="1" min="13" max="13"/>
    <col width="14" customWidth="1" min="14" max="14"/>
  </cols>
  <sheetData>
    <row r="1">
      <c r="A1" s="1" t="inlineStr">
        <is>
          <t>WDAY forecast — Bear</t>
        </is>
      </c>
    </row>
    <row r="3">
      <c r="A3" s="2" t="inlineStr">
        <is>
          <t>Period</t>
        </is>
      </c>
      <c r="B3" s="22" t="inlineStr">
        <is>
          <t>Actual</t>
        </is>
      </c>
      <c r="C3" s="22" t="inlineStr">
        <is>
          <t>Actual</t>
        </is>
      </c>
      <c r="D3" s="22" t="inlineStr">
        <is>
          <t>Actual</t>
        </is>
      </c>
      <c r="E3" s="22" t="inlineStr">
        <is>
          <t>Actual</t>
        </is>
      </c>
      <c r="F3" s="22" t="inlineStr">
        <is>
          <t>Actual</t>
        </is>
      </c>
      <c r="G3" s="22" t="inlineStr">
        <is>
          <t>Actual</t>
        </is>
      </c>
      <c r="H3" s="23" t="inlineStr">
        <is>
          <t>Forecast</t>
        </is>
      </c>
      <c r="I3" s="23" t="inlineStr">
        <is>
          <t>Forecast</t>
        </is>
      </c>
      <c r="J3" s="23" t="inlineStr">
        <is>
          <t>Forecast</t>
        </is>
      </c>
      <c r="K3" s="23" t="inlineStr">
        <is>
          <t>Forecast</t>
        </is>
      </c>
      <c r="L3" t="inlineStr"/>
      <c r="M3" s="24" t="inlineStr">
        <is>
          <t>CAGR</t>
        </is>
      </c>
      <c r="N3" s="24" t="inlineStr">
        <is>
          <t>CAGR</t>
        </is>
      </c>
    </row>
    <row r="4">
      <c r="A4" s="2" t="inlineStr">
        <is>
          <t>$M unless noted</t>
        </is>
      </c>
      <c r="B4" s="4" t="inlineStr">
        <is>
          <t>FY21A</t>
        </is>
      </c>
      <c r="C4" s="4" t="inlineStr">
        <is>
          <t>FY22A</t>
        </is>
      </c>
      <c r="D4" s="4" t="inlineStr">
        <is>
          <t>FY23A</t>
        </is>
      </c>
      <c r="E4" s="4" t="inlineStr">
        <is>
          <t>FY24A</t>
        </is>
      </c>
      <c r="F4" s="4" t="inlineStr">
        <is>
          <t>FY25A</t>
        </is>
      </c>
      <c r="G4" s="4" t="inlineStr">
        <is>
          <t>FY26A</t>
        </is>
      </c>
      <c r="H4" s="25" t="inlineStr">
        <is>
          <t>FY27E</t>
        </is>
      </c>
      <c r="I4" s="25" t="inlineStr">
        <is>
          <t>FY28E</t>
        </is>
      </c>
      <c r="J4" s="25" t="inlineStr">
        <is>
          <t>FY29E</t>
        </is>
      </c>
      <c r="K4" s="25" t="inlineStr">
        <is>
          <t>FY30E</t>
        </is>
      </c>
      <c r="L4" t="inlineStr"/>
      <c r="M4" s="26" t="inlineStr">
        <is>
          <t>CAGR FY21-25</t>
        </is>
      </c>
      <c r="N4" s="26" t="inlineStr">
        <is>
          <t>CAGR FY26-30</t>
        </is>
      </c>
    </row>
    <row r="5">
      <c r="A5" s="3" t="inlineStr">
        <is>
          <t>Drivers (from Assumptions tab)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t="inlineStr">
        <is>
          <t>Revenue growth %</t>
        </is>
      </c>
      <c r="H6" s="27">
        <f>Assumptions!C13</f>
        <v/>
      </c>
      <c r="I6" s="27">
        <f>Assumptions!D13</f>
        <v/>
      </c>
      <c r="J6" s="27">
        <f>Assumptions!E13</f>
        <v/>
      </c>
      <c r="K6" s="27">
        <f>Assumptions!F13</f>
        <v/>
      </c>
    </row>
    <row r="7">
      <c r="A7" t="inlineStr">
        <is>
          <t>Backlog growth %</t>
        </is>
      </c>
      <c r="H7" s="27">
        <f>Assumptions!C17</f>
        <v/>
      </c>
      <c r="I7" s="27">
        <f>Assumptions!D17</f>
        <v/>
      </c>
      <c r="J7" s="27">
        <f>Assumptions!E17</f>
        <v/>
      </c>
      <c r="K7" s="27">
        <f>Assumptions!F17</f>
        <v/>
      </c>
    </row>
    <row r="8">
      <c r="A8" t="inlineStr">
        <is>
          <t>Cost of rev (% rev)</t>
        </is>
      </c>
      <c r="H8" s="27">
        <f>Assumptions!C21</f>
        <v/>
      </c>
      <c r="I8" s="27">
        <f>Assumptions!D21</f>
        <v/>
      </c>
      <c r="J8" s="27">
        <f>Assumptions!E21</f>
        <v/>
      </c>
      <c r="K8" s="27">
        <f>Assumptions!F21</f>
        <v/>
      </c>
    </row>
    <row r="9">
      <c r="A9" t="inlineStr">
        <is>
          <t>R&amp;D (% rev)</t>
        </is>
      </c>
      <c r="H9" s="27">
        <f>Assumptions!C25</f>
        <v/>
      </c>
      <c r="I9" s="27">
        <f>Assumptions!D25</f>
        <v/>
      </c>
      <c r="J9" s="27">
        <f>Assumptions!E25</f>
        <v/>
      </c>
      <c r="K9" s="27">
        <f>Assumptions!F25</f>
        <v/>
      </c>
    </row>
    <row r="10">
      <c r="A10" t="inlineStr">
        <is>
          <t>S&amp;M (% rev)</t>
        </is>
      </c>
      <c r="H10" s="27">
        <f>Assumptions!C29</f>
        <v/>
      </c>
      <c r="I10" s="27">
        <f>Assumptions!D29</f>
        <v/>
      </c>
      <c r="J10" s="27">
        <f>Assumptions!E29</f>
        <v/>
      </c>
      <c r="K10" s="27">
        <f>Assumptions!F29</f>
        <v/>
      </c>
    </row>
    <row r="11">
      <c r="A11" t="inlineStr">
        <is>
          <t>G&amp;A (% rev)</t>
        </is>
      </c>
      <c r="H11" s="27">
        <f>Assumptions!C33</f>
        <v/>
      </c>
      <c r="I11" s="27">
        <f>Assumptions!D33</f>
        <v/>
      </c>
      <c r="J11" s="27">
        <f>Assumptions!E33</f>
        <v/>
      </c>
      <c r="K11" s="27">
        <f>Assumptions!F33</f>
        <v/>
      </c>
    </row>
    <row r="12">
      <c r="A12" t="inlineStr">
        <is>
          <t>SBC (% rev)</t>
        </is>
      </c>
      <c r="H12" s="27">
        <f>Assumptions!C37</f>
        <v/>
      </c>
      <c r="I12" s="27">
        <f>Assumptions!D37</f>
        <v/>
      </c>
      <c r="J12" s="27">
        <f>Assumptions!E37</f>
        <v/>
      </c>
      <c r="K12" s="27">
        <f>Assumptions!F37</f>
        <v/>
      </c>
    </row>
    <row r="13">
      <c r="A13" t="inlineStr">
        <is>
          <t>CFO margin</t>
        </is>
      </c>
      <c r="H13" s="27">
        <f>Assumptions!C41</f>
        <v/>
      </c>
      <c r="I13" s="27">
        <f>Assumptions!D41</f>
        <v/>
      </c>
      <c r="J13" s="27">
        <f>Assumptions!E41</f>
        <v/>
      </c>
      <c r="K13" s="27">
        <f>Assumptions!F41</f>
        <v/>
      </c>
    </row>
    <row r="14">
      <c r="A14" t="inlineStr">
        <is>
          <t>Buyback (%/yr)</t>
        </is>
      </c>
      <c r="H14" s="27">
        <f>Assumptions!C45</f>
        <v/>
      </c>
      <c r="I14" s="27">
        <f>Assumptions!D45</f>
        <v/>
      </c>
      <c r="J14" s="27">
        <f>Assumptions!E45</f>
        <v/>
      </c>
      <c r="K14" s="27">
        <f>Assumptions!F45</f>
        <v/>
      </c>
    </row>
    <row r="16">
      <c r="A16" s="3" t="inlineStr">
        <is>
          <t>Income Statement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t="inlineStr">
        <is>
          <t>Revenue</t>
        </is>
      </c>
      <c r="B17" s="16" t="n">
        <v>4318</v>
      </c>
      <c r="C17" s="16" t="n">
        <v>5139</v>
      </c>
      <c r="D17" s="16" t="n">
        <v>6216</v>
      </c>
      <c r="E17" s="16" t="n">
        <v>7259</v>
      </c>
      <c r="F17" s="16" t="n">
        <v>8446</v>
      </c>
      <c r="G17" s="16" t="n">
        <v>9552</v>
      </c>
      <c r="H17" s="28">
        <f>G17*(1+Assumptions!C13)</f>
        <v/>
      </c>
      <c r="I17" s="28">
        <f>H17*(1+Assumptions!D13)</f>
        <v/>
      </c>
      <c r="J17" s="28">
        <f>I17*(1+Assumptions!E13)</f>
        <v/>
      </c>
      <c r="K17" s="28">
        <f>J17*(1+Assumptions!F13)</f>
        <v/>
      </c>
      <c r="M17" s="10">
        <f>IFERROR(IF(OR(B17&lt;=0,F17&lt;=0),"N/M",(F17/B17)^(1/4)-1), "N/M")</f>
        <v/>
      </c>
      <c r="N17" s="10">
        <f>IFERROR(IF(OR(G17&lt;=0,K17&lt;=0),"N/M",(K17/G17)^(1/4)-1), "N/M")</f>
        <v/>
      </c>
    </row>
    <row r="18">
      <c r="A18" t="inlineStr">
        <is>
          <t>Cost of revenue</t>
        </is>
      </c>
      <c r="B18" s="19" t="n">
        <v>1198.1</v>
      </c>
      <c r="C18" s="19" t="n">
        <v>1428</v>
      </c>
      <c r="D18" s="19" t="n">
        <v>1750</v>
      </c>
      <c r="E18" s="19" t="n">
        <v>1771</v>
      </c>
      <c r="F18" s="19" t="n">
        <v>2153</v>
      </c>
      <c r="G18" s="19" t="n">
        <v>2624</v>
      </c>
      <c r="H18" s="29">
        <f>H17*Assumptions!C21</f>
        <v/>
      </c>
      <c r="I18" s="29">
        <f>I17*Assumptions!D21</f>
        <v/>
      </c>
      <c r="J18" s="29">
        <f>J17*Assumptions!E21</f>
        <v/>
      </c>
      <c r="K18" s="29">
        <f>K17*Assumptions!F21</f>
        <v/>
      </c>
      <c r="M18" s="10">
        <f>IFERROR(IF(OR(B18&lt;=0,F18&lt;=0),"N/M",(F18/B18)^(1/4)-1), "N/M")</f>
        <v/>
      </c>
      <c r="N18" s="10">
        <f>IFERROR(IF(OR(G18&lt;=0,K18&lt;=0),"N/M",(K18/G18)^(1/4)-1), "N/M")</f>
        <v/>
      </c>
    </row>
    <row r="19">
      <c r="A19" s="2" t="inlineStr">
        <is>
          <t>Gross profit</t>
        </is>
      </c>
      <c r="B19" s="30">
        <f>B17-B18</f>
        <v/>
      </c>
      <c r="C19" s="30">
        <f>C17-C18</f>
        <v/>
      </c>
      <c r="D19" s="30">
        <f>D17-D18</f>
        <v/>
      </c>
      <c r="E19" s="30">
        <f>E17-E18</f>
        <v/>
      </c>
      <c r="F19" s="30">
        <f>F17-F18</f>
        <v/>
      </c>
      <c r="G19" s="30">
        <f>G17-G18</f>
        <v/>
      </c>
      <c r="H19" s="28">
        <f>H17-H18</f>
        <v/>
      </c>
      <c r="I19" s="28">
        <f>I17-I18</f>
        <v/>
      </c>
      <c r="J19" s="28">
        <f>J17-J18</f>
        <v/>
      </c>
      <c r="K19" s="28">
        <f>K17-K18</f>
        <v/>
      </c>
      <c r="M19" s="10">
        <f>IFERROR(IF(OR(B19&lt;=0,F19&lt;=0),"N/M",(F19/B19)^(1/4)-1), "N/M")</f>
        <v/>
      </c>
      <c r="N19" s="10">
        <f>IFERROR(IF(OR(G19&lt;=0,K19&lt;=0),"N/M",(K19/G19)^(1/4)-1), "N/M")</f>
        <v/>
      </c>
    </row>
    <row r="20">
      <c r="A20" t="inlineStr">
        <is>
          <t>R&amp;D</t>
        </is>
      </c>
      <c r="B20" s="19" t="n">
        <v>1721.2</v>
      </c>
      <c r="C20" s="19" t="n">
        <v>1879</v>
      </c>
      <c r="D20" s="19" t="n">
        <v>2247</v>
      </c>
      <c r="E20" s="19" t="n">
        <v>2464</v>
      </c>
      <c r="F20" s="19" t="n">
        <v>2626</v>
      </c>
      <c r="G20" s="19" t="n">
        <v>2679</v>
      </c>
      <c r="H20" s="29">
        <f>H17*Assumptions!C25</f>
        <v/>
      </c>
      <c r="I20" s="29">
        <f>I17*Assumptions!D25</f>
        <v/>
      </c>
      <c r="J20" s="29">
        <f>J17*Assumptions!E25</f>
        <v/>
      </c>
      <c r="K20" s="29">
        <f>K17*Assumptions!F25</f>
        <v/>
      </c>
      <c r="M20" s="10">
        <f>IFERROR(IF(OR(B20&lt;=0,F20&lt;=0),"N/M",(F20/B20)^(1/4)-1), "N/M")</f>
        <v/>
      </c>
      <c r="N20" s="10">
        <f>IFERROR(IF(OR(G20&lt;=0,K20&lt;=0),"N/M",(K20/G20)^(1/4)-1), "N/M")</f>
        <v/>
      </c>
    </row>
    <row r="21">
      <c r="A21" t="inlineStr">
        <is>
          <t>S&amp;M</t>
        </is>
      </c>
      <c r="B21" s="19" t="n">
        <v>1233.2</v>
      </c>
      <c r="C21" s="19" t="n">
        <v>1462</v>
      </c>
      <c r="D21" s="19" t="n">
        <v>1842</v>
      </c>
      <c r="E21" s="19" t="n">
        <v>2139</v>
      </c>
      <c r="F21" s="19" t="n">
        <v>2432</v>
      </c>
      <c r="G21" s="19" t="n">
        <v>2616</v>
      </c>
      <c r="H21" s="29">
        <f>H17*Assumptions!C29</f>
        <v/>
      </c>
      <c r="I21" s="29">
        <f>I17*Assumptions!D29</f>
        <v/>
      </c>
      <c r="J21" s="29">
        <f>J17*Assumptions!E29</f>
        <v/>
      </c>
      <c r="K21" s="29">
        <f>K17*Assumptions!F29</f>
        <v/>
      </c>
      <c r="M21" s="10">
        <f>IFERROR(IF(OR(B21&lt;=0,F21&lt;=0),"N/M",(F21/B21)^(1/4)-1), "N/M")</f>
        <v/>
      </c>
      <c r="N21" s="10">
        <f>IFERROR(IF(OR(G21&lt;=0,K21&lt;=0),"N/M",(K21/G21)^(1/4)-1), "N/M")</f>
        <v/>
      </c>
    </row>
    <row r="22">
      <c r="A22" t="inlineStr">
        <is>
          <t>G&amp;A</t>
        </is>
      </c>
      <c r="B22" s="19" t="n">
        <v>414.1</v>
      </c>
      <c r="C22" s="19" t="n">
        <v>486</v>
      </c>
      <c r="D22" s="19" t="n">
        <v>599</v>
      </c>
      <c r="E22" s="19" t="n">
        <v>702</v>
      </c>
      <c r="F22" s="19" t="n">
        <v>820</v>
      </c>
      <c r="G22" s="19" t="n">
        <v>912</v>
      </c>
      <c r="H22" s="29">
        <f>H17*Assumptions!C33</f>
        <v/>
      </c>
      <c r="I22" s="29">
        <f>I17*Assumptions!D33</f>
        <v/>
      </c>
      <c r="J22" s="29">
        <f>J17*Assumptions!E33</f>
        <v/>
      </c>
      <c r="K22" s="29">
        <f>K17*Assumptions!F33</f>
        <v/>
      </c>
      <c r="M22" s="10">
        <f>IFERROR(IF(OR(B22&lt;=0,F22&lt;=0),"N/M",(F22/B22)^(1/4)-1), "N/M")</f>
        <v/>
      </c>
      <c r="N22" s="10">
        <f>IFERROR(IF(OR(G22&lt;=0,K22&lt;=0),"N/M",(K22/G22)^(1/4)-1), "N/M")</f>
        <v/>
      </c>
    </row>
    <row r="23">
      <c r="A23" s="2" t="inlineStr">
        <is>
          <t>Operating income</t>
        </is>
      </c>
      <c r="B23" s="19" t="n">
        <v>-248.6</v>
      </c>
      <c r="C23" s="19" t="n">
        <v>-116</v>
      </c>
      <c r="D23" s="19" t="n">
        <v>-222</v>
      </c>
      <c r="E23" s="19" t="n">
        <v>183</v>
      </c>
      <c r="F23" s="19" t="n">
        <v>415</v>
      </c>
      <c r="G23" s="19" t="n">
        <v>721</v>
      </c>
      <c r="H23" s="29">
        <f>H19-H20-H21-H22-280</f>
        <v/>
      </c>
      <c r="I23" s="29">
        <f>I19-I20-I21-I22-300</f>
        <v/>
      </c>
      <c r="J23" s="29">
        <f>J19-J20-J21-J22-320</f>
        <v/>
      </c>
      <c r="K23" s="29">
        <f>K19-K20-K21-K22-340</f>
        <v/>
      </c>
      <c r="M23" s="10">
        <f>IFERROR(IF(OR(B23&lt;=0,F23&lt;=0),"N/M",(F23/B23)^(1/4)-1), "N/M")</f>
        <v/>
      </c>
      <c r="N23" s="10">
        <f>IFERROR(IF(OR(G23&lt;=0,K23&lt;=0),"N/M",(K23/G23)^(1/4)-1), "N/M")</f>
        <v/>
      </c>
    </row>
    <row r="24">
      <c r="A24" t="inlineStr">
        <is>
          <t>Operating margin %</t>
        </is>
      </c>
      <c r="B24" s="10">
        <f>IFERROR(B23/B17,"")</f>
        <v/>
      </c>
      <c r="C24" s="10">
        <f>IFERROR(C23/C17,"")</f>
        <v/>
      </c>
      <c r="D24" s="10">
        <f>IFERROR(D23/D17,"")</f>
        <v/>
      </c>
      <c r="E24" s="10">
        <f>IFERROR(E23/E17,"")</f>
        <v/>
      </c>
      <c r="F24" s="10">
        <f>IFERROR(F23/F17,"")</f>
        <v/>
      </c>
      <c r="G24" s="10">
        <f>IFERROR(G23/G17,"")</f>
        <v/>
      </c>
      <c r="H24" s="27">
        <f>IFERROR(H23/H17,"")</f>
        <v/>
      </c>
      <c r="I24" s="27">
        <f>IFERROR(I23/I17,"")</f>
        <v/>
      </c>
      <c r="J24" s="27">
        <f>IFERROR(J23/J17,"")</f>
        <v/>
      </c>
      <c r="K24" s="27">
        <f>IFERROR(K23/K17,"")</f>
        <v/>
      </c>
      <c r="M24" s="31">
        <f>IFERROR(F24-B24, "")</f>
        <v/>
      </c>
      <c r="N24" s="31">
        <f>IFERROR(K24-G24, "")</f>
        <v/>
      </c>
    </row>
    <row r="25">
      <c r="A25" t="inlineStr">
        <is>
          <t>Net income (GAAP)</t>
        </is>
      </c>
      <c r="B25" s="19" t="n">
        <v>-282.4</v>
      </c>
      <c r="C25" s="19" t="n">
        <v>29</v>
      </c>
      <c r="D25" s="19" t="n">
        <v>-367</v>
      </c>
      <c r="E25" s="19" t="n">
        <v>1381</v>
      </c>
      <c r="F25" s="19" t="n">
        <v>526</v>
      </c>
      <c r="G25" s="19" t="n">
        <v>693</v>
      </c>
      <c r="M25" s="10">
        <f>IFERROR(IF(OR(B25&lt;=0,F25&lt;=0),"N/M",(F25/B25)^(1/4)-1), "N/M")</f>
        <v/>
      </c>
      <c r="N25" s="10">
        <f>IFERROR(IF(OR(G25&lt;=0,K25&lt;=0),"N/M",(K25/G25)^(1/4)-1), "N/M")</f>
        <v/>
      </c>
    </row>
    <row r="27">
      <c r="A27" s="3" t="inlineStr">
        <is>
          <t>Cash Flow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t="inlineStr">
        <is>
          <t>Cash from operations</t>
        </is>
      </c>
      <c r="B28" s="16" t="n">
        <v>1268.4</v>
      </c>
      <c r="C28" s="16" t="n">
        <v>1651</v>
      </c>
      <c r="D28" s="16" t="n">
        <v>1657</v>
      </c>
      <c r="E28" s="16" t="n">
        <v>2149</v>
      </c>
      <c r="F28" s="16" t="n">
        <v>2461</v>
      </c>
      <c r="G28" s="16" t="n">
        <v>2939</v>
      </c>
      <c r="H28" s="28">
        <f>H17*Assumptions!C41</f>
        <v/>
      </c>
      <c r="I28" s="28">
        <f>I17*Assumptions!D41</f>
        <v/>
      </c>
      <c r="J28" s="28">
        <f>J17*Assumptions!E41</f>
        <v/>
      </c>
      <c r="K28" s="28">
        <f>K17*Assumptions!F41</f>
        <v/>
      </c>
      <c r="M28" s="10">
        <f>IFERROR(IF(OR(B28&lt;=0,F28&lt;=0),"N/M",(F28/B28)^(1/4)-1), "N/M")</f>
        <v/>
      </c>
      <c r="N28" s="10">
        <f>IFERROR(IF(OR(G28&lt;=0,K28&lt;=0),"N/M",(K28/G28)^(1/4)-1), "N/M")</f>
        <v/>
      </c>
    </row>
    <row r="29">
      <c r="A29" t="inlineStr">
        <is>
          <t>Capex (~2% rev)</t>
        </is>
      </c>
      <c r="B29" s="19" t="n"/>
      <c r="C29" s="19" t="n"/>
      <c r="D29" s="19" t="n">
        <v>364</v>
      </c>
      <c r="E29" s="19" t="n">
        <v>232</v>
      </c>
      <c r="F29" s="19" t="n">
        <v>269</v>
      </c>
      <c r="G29" s="19" t="n">
        <v>162</v>
      </c>
      <c r="H29" s="29">
        <f>H17*0.02</f>
        <v/>
      </c>
      <c r="I29" s="29">
        <f>I17*0.02</f>
        <v/>
      </c>
      <c r="J29" s="29">
        <f>J17*0.02</f>
        <v/>
      </c>
      <c r="K29" s="29">
        <f>K17*0.02</f>
        <v/>
      </c>
      <c r="M29" s="10">
        <f>IFERROR(IF(OR(B29&lt;=0,F29&lt;=0),"N/M",(F29/B29)^(1/4)-1), "N/M")</f>
        <v/>
      </c>
      <c r="N29" s="10">
        <f>IFERROR(IF(OR(G29&lt;=0,K29&lt;=0),"N/M",(K29/G29)^(1/4)-1), "N/M")</f>
        <v/>
      </c>
    </row>
    <row r="30">
      <c r="A30" s="2" t="inlineStr">
        <is>
          <t>Free cash flow</t>
        </is>
      </c>
      <c r="B30" s="30">
        <f>IFERROR(B28-B29,B28)</f>
        <v/>
      </c>
      <c r="C30" s="30">
        <f>IFERROR(C28-C29,C28)</f>
        <v/>
      </c>
      <c r="D30" s="30">
        <f>IFERROR(D28-D29,D28)</f>
        <v/>
      </c>
      <c r="E30" s="30">
        <f>IFERROR(E28-E29,E28)</f>
        <v/>
      </c>
      <c r="F30" s="30">
        <f>IFERROR(F28-F29,F28)</f>
        <v/>
      </c>
      <c r="G30" s="30">
        <f>IFERROR(G28-G29,G28)</f>
        <v/>
      </c>
      <c r="H30" s="28">
        <f>IFERROR(H28-H29,H28)</f>
        <v/>
      </c>
      <c r="I30" s="28">
        <f>IFERROR(I28-I29,I28)</f>
        <v/>
      </c>
      <c r="J30" s="28">
        <f>IFERROR(J28-J29,J28)</f>
        <v/>
      </c>
      <c r="K30" s="28">
        <f>IFERROR(K28-K29,K28)</f>
        <v/>
      </c>
      <c r="M30" s="10">
        <f>IFERROR(IF(OR(B30&lt;=0,F30&lt;=0),"N/M",(F30/B30)^(1/4)-1), "N/M")</f>
        <v/>
      </c>
      <c r="N30" s="10">
        <f>IFERROR(IF(OR(G30&lt;=0,K30&lt;=0),"N/M",(K30/G30)^(1/4)-1), "N/M")</f>
        <v/>
      </c>
    </row>
    <row r="31">
      <c r="A31" t="inlineStr">
        <is>
          <t>SBC</t>
        </is>
      </c>
      <c r="B31" s="19" t="n">
        <v>1004.9</v>
      </c>
      <c r="C31" s="19" t="n">
        <v>1101</v>
      </c>
      <c r="D31" s="19" t="n">
        <v>1295</v>
      </c>
      <c r="E31" s="19" t="n">
        <v>1416</v>
      </c>
      <c r="F31" s="19" t="n">
        <v>1519</v>
      </c>
      <c r="G31" s="19" t="n">
        <v>1626</v>
      </c>
      <c r="H31" s="29">
        <f>H17*Assumptions!C37</f>
        <v/>
      </c>
      <c r="I31" s="29">
        <f>I17*Assumptions!D37</f>
        <v/>
      </c>
      <c r="J31" s="29">
        <f>J17*Assumptions!E37</f>
        <v/>
      </c>
      <c r="K31" s="29">
        <f>K17*Assumptions!F37</f>
        <v/>
      </c>
      <c r="M31" s="10">
        <f>IFERROR(IF(OR(B31&lt;=0,F31&lt;=0),"N/M",(F31/B31)^(1/4)-1), "N/M")</f>
        <v/>
      </c>
      <c r="N31" s="10">
        <f>IFERROR(IF(OR(G31&lt;=0,K31&lt;=0),"N/M",(K31/G31)^(1/4)-1), "N/M")</f>
        <v/>
      </c>
    </row>
    <row r="32">
      <c r="A32" s="2" t="inlineStr">
        <is>
          <t>FCF − SBC</t>
        </is>
      </c>
      <c r="B32" s="21">
        <f>B30-B31</f>
        <v/>
      </c>
      <c r="C32" s="21">
        <f>C30-C31</f>
        <v/>
      </c>
      <c r="D32" s="21">
        <f>D30-D31</f>
        <v/>
      </c>
      <c r="E32" s="21">
        <f>E30-E31</f>
        <v/>
      </c>
      <c r="F32" s="21">
        <f>F30-F31</f>
        <v/>
      </c>
      <c r="G32" s="21">
        <f>G30-G31</f>
        <v/>
      </c>
      <c r="H32" s="29">
        <f>H30-H31</f>
        <v/>
      </c>
      <c r="I32" s="29">
        <f>I30-I31</f>
        <v/>
      </c>
      <c r="J32" s="29">
        <f>J30-J31</f>
        <v/>
      </c>
      <c r="K32" s="29">
        <f>K30-K31</f>
        <v/>
      </c>
      <c r="M32" s="10">
        <f>IFERROR(IF(OR(B32&lt;=0,F32&lt;=0),"N/M",(F32/B32)^(1/4)-1), "N/M")</f>
        <v/>
      </c>
      <c r="N32" s="10">
        <f>IFERROR(IF(OR(G32&lt;=0,K32&lt;=0),"N/M",(K32/G32)^(1/4)-1), "N/M")</f>
        <v/>
      </c>
    </row>
    <row r="34">
      <c r="A34" s="3" t="inlineStr">
        <is>
          <t>Per-share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t="inlineStr">
        <is>
          <t>Diluted shares (M)</t>
        </is>
      </c>
      <c r="B35" s="15" t="n">
        <v>237</v>
      </c>
      <c r="C35" s="15" t="n">
        <v>254</v>
      </c>
      <c r="D35" s="15" t="n">
        <v>254.8</v>
      </c>
      <c r="E35" s="15" t="n">
        <v>265.3</v>
      </c>
      <c r="F35" s="15" t="n">
        <v>269.2</v>
      </c>
      <c r="G35" s="15" t="n">
        <v>268.1</v>
      </c>
      <c r="H35" s="32">
        <f>G35*(1-Assumptions!C45)</f>
        <v/>
      </c>
      <c r="I35" s="32">
        <f>H35*(1-Assumptions!D45)</f>
        <v/>
      </c>
      <c r="J35" s="32">
        <f>I35*(1-Assumptions!E45)</f>
        <v/>
      </c>
      <c r="K35" s="32">
        <f>J35*(1-Assumptions!F45)</f>
        <v/>
      </c>
      <c r="M35" s="10">
        <f>IFERROR(IF(OR(B35&lt;=0,F35&lt;=0),"N/M",(F35/B35)^(1/4)-1), "N/M")</f>
        <v/>
      </c>
      <c r="N35" s="10">
        <f>IFERROR(IF(OR(G35&lt;=0,K35&lt;=0),"N/M",(K35/G35)^(1/4)-1), "N/M")</f>
        <v/>
      </c>
    </row>
    <row r="36">
      <c r="A36" t="inlineStr">
        <is>
          <t>FCF / share</t>
        </is>
      </c>
      <c r="B36" s="6">
        <f>IFERROR(B30/B35,"")</f>
        <v/>
      </c>
      <c r="C36" s="6">
        <f>IFERROR(C30/C35,"")</f>
        <v/>
      </c>
      <c r="D36" s="6">
        <f>IFERROR(D30/D35,"")</f>
        <v/>
      </c>
      <c r="E36" s="6">
        <f>IFERROR(E30/E35,"")</f>
        <v/>
      </c>
      <c r="F36" s="6">
        <f>IFERROR(F30/F35,"")</f>
        <v/>
      </c>
      <c r="G36" s="6">
        <f>IFERROR(G30/G35,"")</f>
        <v/>
      </c>
      <c r="H36" s="33">
        <f>IFERROR(H30/H35,"")</f>
        <v/>
      </c>
      <c r="I36" s="33">
        <f>IFERROR(I30/I35,"")</f>
        <v/>
      </c>
      <c r="J36" s="33">
        <f>IFERROR(J30/J35,"")</f>
        <v/>
      </c>
      <c r="K36" s="33">
        <f>IFERROR(K30/K35,"")</f>
        <v/>
      </c>
      <c r="M36" s="10">
        <f>IFERROR(IF(OR(B36&lt;=0,F36&lt;=0),"N/M",(F36/B36)^(1/4)-1), "N/M")</f>
        <v/>
      </c>
      <c r="N36" s="10">
        <f>IFERROR(IF(OR(G36&lt;=0,K36&lt;=0),"N/M",(K36/G36)^(1/4)-1), "N/M")</f>
        <v/>
      </c>
    </row>
    <row r="37">
      <c r="A37" t="inlineStr">
        <is>
          <t>12-mo backlog ($M)</t>
        </is>
      </c>
      <c r="E37" s="16" t="n">
        <v>6602</v>
      </c>
      <c r="F37" s="16" t="n">
        <v>7631</v>
      </c>
      <c r="G37" s="16" t="n">
        <v>8833</v>
      </c>
      <c r="H37" s="28">
        <f>G37*(1+Assumptions!C17)</f>
        <v/>
      </c>
      <c r="I37" s="28">
        <f>H37*(1+Assumptions!D17)</f>
        <v/>
      </c>
      <c r="J37" s="28">
        <f>I37*(1+Assumptions!E17)</f>
        <v/>
      </c>
      <c r="K37" s="28">
        <f>J37*(1+Assumptions!F17)</f>
        <v/>
      </c>
      <c r="M37" s="10">
        <f>IFERROR(IF(OR(B37&lt;=0,F37&lt;=0),"N/M",(F37/B37)^(1/4)-1), "N/M")</f>
        <v/>
      </c>
      <c r="N37" s="10">
        <f>IFERROR(IF(OR(G37&lt;=0,K37&lt;=0),"N/M",(K37/G37)^(1/4)-1), "N/M")</f>
        <v/>
      </c>
    </row>
    <row r="39">
      <c r="A39" s="3" t="inlineStr">
        <is>
          <t>Valuation (terminal = FY30)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2" t="inlineStr">
        <is>
          <t>Target ($/sh, ARR-lens)</t>
        </is>
      </c>
      <c r="K40" s="34">
        <f>(Assumptions!C49*K37+Assumptions!B7*1000)/K35</f>
        <v/>
      </c>
    </row>
    <row r="41">
      <c r="A41" s="2" t="inlineStr">
        <is>
          <t>Target ($/sh, FCF-lens)</t>
        </is>
      </c>
      <c r="K41" s="34">
        <f>(Assumptions!C52*K30+Assumptions!B7*1000)/K35</f>
        <v/>
      </c>
    </row>
    <row r="42">
      <c r="A42" s="2" t="inlineStr">
        <is>
          <t>Target (blended)</t>
        </is>
      </c>
      <c r="K42" s="35">
        <f>AVERAGE(K40,K41)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Valuation summary</t>
        </is>
      </c>
    </row>
    <row r="3">
      <c r="A3" s="4" t="inlineStr">
        <is>
          <t>Scenario</t>
        </is>
      </c>
      <c r="B3" s="4" t="inlineStr">
        <is>
          <t>Probability</t>
        </is>
      </c>
      <c r="C3" s="4" t="inlineStr">
        <is>
          <t>FY30 target</t>
        </is>
      </c>
      <c r="D3" s="4" t="inlineStr">
        <is>
          <t>Return %</t>
        </is>
      </c>
      <c r="E3" s="4" t="inlineStr">
        <is>
          <t>IRR (4y)</t>
        </is>
      </c>
      <c r="F3" s="4" t="inlineStr">
        <is>
          <t>Prob × target</t>
        </is>
      </c>
    </row>
    <row r="4">
      <c r="A4" t="inlineStr">
        <is>
          <t>AI Winner</t>
        </is>
      </c>
      <c r="B4" s="5">
        <f>Assumptions!C53</f>
        <v/>
      </c>
      <c r="C4" s="8" t="n">
        <v>708.15</v>
      </c>
      <c r="D4" s="10">
        <f>C4/129.34-1</f>
        <v/>
      </c>
      <c r="E4" s="10">
        <f>(C4/129.34)^(1/4)-1</f>
        <v/>
      </c>
      <c r="F4" s="8">
        <f>B4*C4</f>
        <v/>
      </c>
    </row>
    <row r="5">
      <c r="A5" t="inlineStr">
        <is>
          <t>Run For Cash</t>
        </is>
      </c>
      <c r="B5" s="5">
        <f>Assumptions!C54</f>
        <v/>
      </c>
      <c r="C5" s="8" t="n">
        <v>124.93</v>
      </c>
      <c r="D5" s="10">
        <f>C5/129.34-1</f>
        <v/>
      </c>
      <c r="E5" s="10">
        <f>(C5/129.34)^(1/4)-1</f>
        <v/>
      </c>
      <c r="F5" s="8">
        <f>B5*C5</f>
        <v/>
      </c>
    </row>
    <row r="6">
      <c r="A6" t="inlineStr">
        <is>
          <t>Bear</t>
        </is>
      </c>
      <c r="B6" s="5">
        <f>Assumptions!C55</f>
        <v/>
      </c>
      <c r="C6" s="8" t="n">
        <v>69.15000000000001</v>
      </c>
      <c r="D6" s="10">
        <f>C6/129.34-1</f>
        <v/>
      </c>
      <c r="E6" s="10">
        <f>(C6/129.34)^(1/4)-1</f>
        <v/>
      </c>
      <c r="F6" s="8">
        <f>B6*C6</f>
        <v/>
      </c>
    </row>
    <row r="8">
      <c r="A8" s="2" t="inlineStr">
        <is>
          <t>Probability-weighted</t>
        </is>
      </c>
      <c r="C8" s="35">
        <f>SUM(F4:F6)</f>
        <v/>
      </c>
      <c r="D8" s="9">
        <f>C8/129.34-1</f>
        <v/>
      </c>
      <c r="E8" s="9">
        <f>(C8/129.34)^(1/4)-1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— FCF/share × exit multiple</t>
        </is>
      </c>
    </row>
    <row r="3">
      <c r="A3" t="inlineStr">
        <is>
          <t>Target price = FCF/share × multiple. Current price for reference: $129.34</t>
        </is>
      </c>
    </row>
    <row r="5">
      <c r="A5" s="2" t="inlineStr">
        <is>
          <t>FCF/share ↓ × Mult →</t>
        </is>
      </c>
      <c r="B5" s="14" t="inlineStr">
        <is>
          <t>8×</t>
        </is>
      </c>
      <c r="C5" s="14" t="inlineStr">
        <is>
          <t>12×</t>
        </is>
      </c>
      <c r="D5" s="14" t="inlineStr">
        <is>
          <t>16×</t>
        </is>
      </c>
      <c r="E5" s="14" t="inlineStr">
        <is>
          <t>20×</t>
        </is>
      </c>
      <c r="F5" s="14" t="inlineStr">
        <is>
          <t>24×</t>
        </is>
      </c>
      <c r="G5" s="14" t="inlineStr">
        <is>
          <t>28×</t>
        </is>
      </c>
    </row>
    <row r="6">
      <c r="A6" s="3" t="inlineStr">
        <is>
          <t>$10</t>
        </is>
      </c>
      <c r="B6" s="36" t="n">
        <v>80</v>
      </c>
      <c r="C6" s="37" t="n">
        <v>120</v>
      </c>
      <c r="D6" s="35" t="n">
        <v>160</v>
      </c>
      <c r="E6" s="38" t="n">
        <v>200</v>
      </c>
      <c r="F6" s="38" t="n">
        <v>240</v>
      </c>
      <c r="G6" s="38" t="n">
        <v>280</v>
      </c>
    </row>
    <row r="7">
      <c r="A7" s="3" t="inlineStr">
        <is>
          <t>$14</t>
        </is>
      </c>
      <c r="B7" s="37" t="n">
        <v>112</v>
      </c>
      <c r="C7" s="35" t="n">
        <v>168</v>
      </c>
      <c r="D7" s="38" t="n">
        <v>224</v>
      </c>
      <c r="E7" s="38" t="n">
        <v>280</v>
      </c>
      <c r="F7" s="39" t="n">
        <v>336</v>
      </c>
      <c r="G7" s="39" t="n">
        <v>392</v>
      </c>
    </row>
    <row r="8">
      <c r="A8" s="3" t="inlineStr">
        <is>
          <t>$18</t>
        </is>
      </c>
      <c r="B8" s="35" t="n">
        <v>144</v>
      </c>
      <c r="C8" s="38" t="n">
        <v>216</v>
      </c>
      <c r="D8" s="38" t="n">
        <v>288</v>
      </c>
      <c r="E8" s="39" t="n">
        <v>360</v>
      </c>
      <c r="F8" s="39" t="n">
        <v>432</v>
      </c>
      <c r="G8" s="39" t="n">
        <v>504</v>
      </c>
    </row>
    <row r="9">
      <c r="A9" s="3" t="inlineStr">
        <is>
          <t>$22</t>
        </is>
      </c>
      <c r="B9" s="35" t="n">
        <v>176</v>
      </c>
      <c r="C9" s="38" t="n">
        <v>264</v>
      </c>
      <c r="D9" s="39" t="n">
        <v>352</v>
      </c>
      <c r="E9" s="39" t="n">
        <v>440</v>
      </c>
      <c r="F9" s="39" t="n">
        <v>528</v>
      </c>
      <c r="G9" s="39" t="n">
        <v>616</v>
      </c>
    </row>
    <row r="10">
      <c r="A10" s="3" t="inlineStr">
        <is>
          <t>$26</t>
        </is>
      </c>
      <c r="B10" s="38" t="n">
        <v>208</v>
      </c>
      <c r="C10" s="38" t="n">
        <v>312</v>
      </c>
      <c r="D10" s="39" t="n">
        <v>416</v>
      </c>
      <c r="E10" s="39" t="n">
        <v>520</v>
      </c>
      <c r="F10" s="39" t="n">
        <v>624</v>
      </c>
      <c r="G10" s="39" t="n">
        <v>728</v>
      </c>
    </row>
    <row r="11">
      <c r="A11" s="3" t="inlineStr">
        <is>
          <t>$30</t>
        </is>
      </c>
      <c r="B11" s="38" t="n">
        <v>240</v>
      </c>
      <c r="C11" s="39" t="n">
        <v>360</v>
      </c>
      <c r="D11" s="39" t="n">
        <v>480</v>
      </c>
      <c r="E11" s="39" t="n">
        <v>600</v>
      </c>
      <c r="F11" s="39" t="n">
        <v>720</v>
      </c>
      <c r="G11" s="39" t="n">
        <v>840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11" customWidth="1" min="4" max="4"/>
    <col width="13" customWidth="1" min="5" max="5"/>
    <col width="13" customWidth="1" min="6" max="6"/>
    <col width="13" customWidth="1" min="7" max="7"/>
    <col width="14" customWidth="1" min="8" max="8"/>
    <col width="22" customWidth="1" min="9" max="9"/>
    <col width="10" customWidth="1" min="10" max="10"/>
    <col width="9" customWidth="1" min="11" max="11"/>
    <col width="14" customWidth="1" min="12" max="12"/>
    <col width="10" customWidth="1" min="13" max="13"/>
    <col width="18" customWidth="1" min="14" max="14"/>
    <col width="10" customWidth="1" min="15" max="15"/>
    <col width="14" customWidth="1" min="16" max="16"/>
    <col width="14" customWidth="1" min="17" max="17"/>
  </cols>
  <sheetData>
    <row r="1">
      <c r="A1" s="1" t="inlineStr">
        <is>
          <t>Total Shareholder Return decomposition</t>
        </is>
      </c>
    </row>
    <row r="2">
      <c r="A2" t="inlineStr">
        <is>
          <t>Entry price $129.34.  TSR % = (terminal + cum div) / entry − 1.  Buyback retirement value $/sh = cum buyback $$ / horizon shares (how much terminal equity belongs to surviving shareholders by virtue of share retirement).</t>
        </is>
      </c>
    </row>
    <row r="4">
      <c r="A4" s="4" t="inlineStr">
        <is>
          <t>Scenario</t>
        </is>
      </c>
      <c r="B4" s="4" t="inlineStr">
        <is>
          <t>Prob</t>
        </is>
      </c>
      <c r="C4" s="4" t="inlineStr">
        <is>
          <t>Horizon</t>
        </is>
      </c>
      <c r="D4" s="4" t="inlineStr">
        <is>
          <t>Entry $/sh</t>
        </is>
      </c>
      <c r="E4" s="4" t="inlineStr">
        <is>
          <t>Terminal $/sh</t>
        </is>
      </c>
      <c r="F4" s="4" t="inlineStr">
        <is>
          <t>Price Δ $/sh</t>
        </is>
      </c>
      <c r="G4" s="4" t="inlineStr">
        <is>
          <t>Cum div $/sh</t>
        </is>
      </c>
      <c r="H4" s="4" t="inlineStr">
        <is>
          <t>Cum buyback $$M</t>
        </is>
      </c>
      <c r="I4" s="4" t="inlineStr">
        <is>
          <t>Implied BB $/surviving sh</t>
        </is>
      </c>
      <c r="J4" s="4" t="inlineStr">
        <is>
          <t>Px appr %</t>
        </is>
      </c>
      <c r="K4" s="4" t="inlineStr">
        <is>
          <t>Div %</t>
        </is>
      </c>
      <c r="L4" s="4" t="inlineStr">
        <is>
          <t>BB accretion %</t>
        </is>
      </c>
      <c r="M4" s="4" t="inlineStr">
        <is>
          <t>TSR %</t>
        </is>
      </c>
      <c r="N4" s="4" t="inlineStr">
        <is>
          <t>Sum check (Px%+Div%)</t>
        </is>
      </c>
      <c r="O4" s="4" t="inlineStr">
        <is>
          <t>IRR %</t>
        </is>
      </c>
      <c r="P4" s="4" t="inlineStr">
        <is>
          <t>Entry shares (M)</t>
        </is>
      </c>
      <c r="Q4" s="4" t="inlineStr">
        <is>
          <t>Horizon shares (M)</t>
        </is>
      </c>
    </row>
    <row r="5">
      <c r="A5" t="inlineStr">
        <is>
          <t>Good AI</t>
        </is>
      </c>
      <c r="B5" s="5" t="n">
        <v>0.35</v>
      </c>
      <c r="C5" t="inlineStr">
        <is>
          <t>3yr (FY29)</t>
        </is>
      </c>
      <c r="D5" s="6" t="n">
        <v>129.34</v>
      </c>
      <c r="E5" s="6" t="n">
        <v>577.92</v>
      </c>
      <c r="F5" s="7">
        <f>E5-D5</f>
        <v/>
      </c>
      <c r="G5" s="6" t="n">
        <v>0</v>
      </c>
      <c r="H5" s="8" t="n">
        <v>5652</v>
      </c>
      <c r="I5" s="6" t="n">
        <v>22.52</v>
      </c>
      <c r="J5" s="10">
        <f>F5/D5</f>
        <v/>
      </c>
      <c r="K5" s="10">
        <f>G5/D5</f>
        <v/>
      </c>
      <c r="L5" s="10" t="n">
        <v>0.068</v>
      </c>
      <c r="M5" s="9">
        <f>J5+K5</f>
        <v/>
      </c>
      <c r="N5" s="10">
        <f>J5+K5</f>
        <v/>
      </c>
      <c r="O5" s="10" t="n">
        <v>0.647</v>
      </c>
      <c r="P5" s="15" t="n">
        <v>268</v>
      </c>
      <c r="Q5" s="15" t="n">
        <v>251</v>
      </c>
    </row>
    <row r="6">
      <c r="A6" t="inlineStr">
        <is>
          <t>Good AI</t>
        </is>
      </c>
      <c r="B6" s="5" t="n">
        <v>0.35</v>
      </c>
      <c r="C6" t="inlineStr">
        <is>
          <t>4yr (FY30)</t>
        </is>
      </c>
      <c r="D6" s="6" t="n">
        <v>129.34</v>
      </c>
      <c r="E6" s="6" t="n">
        <v>708.15</v>
      </c>
      <c r="F6" s="7">
        <f>E6-D6</f>
        <v/>
      </c>
      <c r="G6" s="6" t="n">
        <v>0</v>
      </c>
      <c r="H6" s="8" t="n">
        <v>10044</v>
      </c>
      <c r="I6" s="6" t="n">
        <v>41.05</v>
      </c>
      <c r="J6" s="10">
        <f>F6/D6</f>
        <v/>
      </c>
      <c r="K6" s="10">
        <f>G6/D6</f>
        <v/>
      </c>
      <c r="L6" s="10" t="n">
        <v>0.095</v>
      </c>
      <c r="M6" s="9">
        <f>J6+K6</f>
        <v/>
      </c>
      <c r="N6" s="10">
        <f>J6+K6</f>
        <v/>
      </c>
      <c r="O6" s="10" t="n">
        <v>0.53</v>
      </c>
      <c r="P6" s="15" t="n">
        <v>268</v>
      </c>
      <c r="Q6" s="15" t="n">
        <v>244.7</v>
      </c>
    </row>
    <row r="7">
      <c r="A7" t="inlineStr">
        <is>
          <t>Runs For Cash</t>
        </is>
      </c>
      <c r="B7" s="5" t="n">
        <v>0.35</v>
      </c>
      <c r="C7" t="inlineStr">
        <is>
          <t>3yr (FY29)</t>
        </is>
      </c>
      <c r="D7" s="6" t="n">
        <v>129.34</v>
      </c>
      <c r="E7" s="6" t="n">
        <v>125.26</v>
      </c>
      <c r="F7" s="7">
        <f>E7-D7</f>
        <v/>
      </c>
      <c r="G7" s="6" t="n">
        <v>11.78</v>
      </c>
      <c r="H7" s="8" t="n">
        <v>6617</v>
      </c>
      <c r="I7" s="6" t="n">
        <v>30.4</v>
      </c>
      <c r="J7" s="10">
        <f>F7/D7</f>
        <v/>
      </c>
      <c r="K7" s="10">
        <f>G7/D7</f>
        <v/>
      </c>
      <c r="L7" s="10" t="n">
        <v>0.231</v>
      </c>
      <c r="M7" s="9">
        <f>J7+K7</f>
        <v/>
      </c>
      <c r="N7" s="10">
        <f>J7+K7</f>
        <v/>
      </c>
      <c r="O7" s="10" t="n">
        <v>0.019</v>
      </c>
      <c r="P7" s="15" t="n">
        <v>268</v>
      </c>
      <c r="Q7" s="15" t="n">
        <v>217.7</v>
      </c>
    </row>
    <row r="8">
      <c r="A8" t="inlineStr">
        <is>
          <t>Runs For Cash</t>
        </is>
      </c>
      <c r="B8" s="5" t="n">
        <v>0.35</v>
      </c>
      <c r="C8" t="inlineStr">
        <is>
          <t>4yr (FY30)</t>
        </is>
      </c>
      <c r="D8" s="6" t="n">
        <v>129.34</v>
      </c>
      <c r="E8" s="6" t="n">
        <v>124.93</v>
      </c>
      <c r="F8" s="7">
        <f>E8-D8</f>
        <v/>
      </c>
      <c r="G8" s="6" t="n">
        <v>18.94</v>
      </c>
      <c r="H8" s="8" t="n">
        <v>9556</v>
      </c>
      <c r="I8" s="6" t="n">
        <v>48.76</v>
      </c>
      <c r="J8" s="10">
        <f>F8/D8</f>
        <v/>
      </c>
      <c r="K8" s="10">
        <f>G8/D8</f>
        <v/>
      </c>
      <c r="L8" s="10" t="n">
        <v>0.367</v>
      </c>
      <c r="M8" s="9">
        <f>J8+K8</f>
        <v/>
      </c>
      <c r="N8" s="10">
        <f>J8+K8</f>
        <v/>
      </c>
      <c r="O8" s="10" t="n">
        <v>0.027</v>
      </c>
      <c r="P8" s="15" t="n">
        <v>268</v>
      </c>
      <c r="Q8" s="15" t="n">
        <v>196</v>
      </c>
    </row>
    <row r="9">
      <c r="A9" t="inlineStr">
        <is>
          <t>What Goes Wrong</t>
        </is>
      </c>
      <c r="B9" s="5" t="n">
        <v>0.3</v>
      </c>
      <c r="C9" t="inlineStr">
        <is>
          <t>3yr (FY29)</t>
        </is>
      </c>
      <c r="D9" s="6" t="n">
        <v>129.34</v>
      </c>
      <c r="E9" s="6" t="n">
        <v>74.88</v>
      </c>
      <c r="F9" s="7">
        <f>E9-D9</f>
        <v/>
      </c>
      <c r="G9" s="6" t="n">
        <v>3.39</v>
      </c>
      <c r="H9" s="8" t="n">
        <v>2970</v>
      </c>
      <c r="I9" s="6" t="n">
        <v>12.27</v>
      </c>
      <c r="J9" s="10">
        <f>F9/D9</f>
        <v/>
      </c>
      <c r="K9" s="10">
        <f>G9/D9</f>
        <v/>
      </c>
      <c r="L9" s="10" t="n">
        <v>0.107</v>
      </c>
      <c r="M9" s="9">
        <f>J9+K9</f>
        <v/>
      </c>
      <c r="N9" s="10">
        <f>J9+K9</f>
        <v/>
      </c>
      <c r="O9" s="10" t="n">
        <v>-0.154</v>
      </c>
      <c r="P9" s="15" t="n">
        <v>268</v>
      </c>
      <c r="Q9" s="15" t="n">
        <v>242.1</v>
      </c>
    </row>
    <row r="10">
      <c r="A10" t="inlineStr">
        <is>
          <t>What Goes Wrong</t>
        </is>
      </c>
      <c r="B10" s="5" t="n">
        <v>0.3</v>
      </c>
      <c r="C10" t="inlineStr">
        <is>
          <t>4yr (FY30)</t>
        </is>
      </c>
      <c r="D10" s="6" t="n">
        <v>129.34</v>
      </c>
      <c r="E10" s="6" t="n">
        <v>69.15000000000001</v>
      </c>
      <c r="F10" s="7">
        <f>E10-D10</f>
        <v/>
      </c>
      <c r="G10" s="6" t="n">
        <v>5.48</v>
      </c>
      <c r="H10" s="8" t="n">
        <v>3841</v>
      </c>
      <c r="I10" s="6" t="n">
        <v>16.53</v>
      </c>
      <c r="J10" s="10">
        <f>F10/D10</f>
        <v/>
      </c>
      <c r="K10" s="10">
        <f>G10/D10</f>
        <v/>
      </c>
      <c r="L10" s="10" t="n">
        <v>0.153</v>
      </c>
      <c r="M10" s="9">
        <f>J10+K10</f>
        <v/>
      </c>
      <c r="N10" s="10">
        <f>J10+K10</f>
        <v/>
      </c>
      <c r="O10" s="10" t="n">
        <v>-0.128</v>
      </c>
      <c r="P10" s="15" t="n">
        <v>268</v>
      </c>
      <c r="Q10" s="15" t="n">
        <v>232.4</v>
      </c>
    </row>
    <row r="12">
      <c r="A12" s="2" t="inlineStr">
        <is>
          <t>Probability-weighted FY29 TSR</t>
        </is>
      </c>
      <c r="M12" s="9" t="n">
        <v>1.116</v>
      </c>
    </row>
    <row r="13">
      <c r="A13" s="2" t="inlineStr">
        <is>
          <t>Probability-weighted FY30 TSR</t>
        </is>
      </c>
      <c r="M13" s="9" t="n">
        <v>1.479</v>
      </c>
    </row>
    <row r="15">
      <c r="A15" s="2" t="inlineStr">
        <is>
          <t>Reconciliation:</t>
        </is>
      </c>
    </row>
    <row r="16">
      <c r="A16" t="inlineStr">
        <is>
          <t>Price Δ % + Cum div % should equal TSR %. Buyback accretion % is attribution-only (already inside terminal price). Implied BB $/surviving sh = cum buyback $$ / horizon shares.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18" customWidth="1" min="10" max="10"/>
  </cols>
  <sheetData>
    <row r="1">
      <c r="A1" s="1" t="inlineStr">
        <is>
          <t>Subscription growth driver decomposition</t>
        </is>
      </c>
    </row>
    <row r="2">
      <c r="A2" t="inlineStr">
        <is>
          <t>Splits YoY subscription growth into seats × ARPU, add-on attach, baseline pricing, and the pricing-model transition (consumption credits layered on subscription).</t>
        </is>
      </c>
    </row>
    <row r="4">
      <c r="A4" s="3" t="inlineStr">
        <is>
          <t>Good AI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</row>
    <row r="5">
      <c r="A5" s="4" t="inlineStr">
        <is>
          <t>FY</t>
        </is>
      </c>
      <c r="B5" s="4" t="inlineStr">
        <is>
          <t>Consumption % of sub</t>
        </is>
      </c>
      <c r="C5" s="4" t="inlineStr">
        <is>
          <t>Total sub growth %</t>
        </is>
      </c>
      <c r="D5" s="4" t="inlineStr">
        <is>
          <t>Seats × ARPU %</t>
        </is>
      </c>
      <c r="E5" s="4" t="inlineStr">
        <is>
          <t>Add-on attach %</t>
        </is>
      </c>
      <c r="F5" s="4" t="inlineStr">
        <is>
          <t>Baseline pricing %</t>
        </is>
      </c>
      <c r="G5" s="4" t="inlineStr">
        <is>
          <t>Consumption uplift %</t>
        </is>
      </c>
      <c r="H5" s="4" t="inlineStr">
        <is>
          <t>Sub revenue ($M)</t>
        </is>
      </c>
      <c r="I5" s="4" t="inlineStr">
        <is>
          <t>Consumption $ ($M)</t>
        </is>
      </c>
      <c r="J5" s="4" t="inlineStr">
        <is>
          <t>Seats × ARPU $ ($M)</t>
        </is>
      </c>
    </row>
    <row r="6">
      <c r="A6" t="inlineStr">
        <is>
          <t>FY2027</t>
        </is>
      </c>
      <c r="B6" s="10" t="n">
        <v>0</v>
      </c>
      <c r="C6" s="10" t="n">
        <v>0.1466</v>
      </c>
      <c r="D6" s="10" t="n">
        <v>0.0733</v>
      </c>
      <c r="E6" s="10" t="n">
        <v>0.044</v>
      </c>
      <c r="F6" s="10" t="n">
        <v>0.0293</v>
      </c>
      <c r="G6" s="9" t="n">
        <v>0</v>
      </c>
      <c r="H6" s="16" t="n">
        <v>10128</v>
      </c>
      <c r="I6" s="16" t="n">
        <v>0</v>
      </c>
      <c r="J6" s="16" t="n">
        <v>647</v>
      </c>
    </row>
    <row r="7">
      <c r="A7" t="inlineStr">
        <is>
          <t>FY2028</t>
        </is>
      </c>
      <c r="B7" s="10" t="n">
        <v>0.08</v>
      </c>
      <c r="C7" s="10" t="n">
        <v>0.1333</v>
      </c>
      <c r="D7" s="10" t="n">
        <v>0.0266</v>
      </c>
      <c r="E7" s="10" t="n">
        <v>0.016</v>
      </c>
      <c r="F7" s="10" t="n">
        <v>0.0107</v>
      </c>
      <c r="G7" s="9" t="n">
        <v>0.08</v>
      </c>
      <c r="H7" s="16" t="n">
        <v>11477</v>
      </c>
      <c r="I7" s="16" t="n">
        <v>810</v>
      </c>
      <c r="J7" s="16" t="n">
        <v>270</v>
      </c>
    </row>
    <row r="8">
      <c r="A8" t="inlineStr">
        <is>
          <t>FY2029</t>
        </is>
      </c>
      <c r="B8" s="10" t="n">
        <v>0.18</v>
      </c>
      <c r="C8" s="10" t="n">
        <v>0.1266</v>
      </c>
      <c r="D8" s="10" t="n">
        <v>0.0133</v>
      </c>
      <c r="E8" s="10" t="n">
        <v>0.008</v>
      </c>
      <c r="F8" s="10" t="n">
        <v>0.0053</v>
      </c>
      <c r="G8" s="9" t="n">
        <v>0.1</v>
      </c>
      <c r="H8" s="16" t="n">
        <v>12930</v>
      </c>
      <c r="I8" s="16" t="n">
        <v>1148</v>
      </c>
      <c r="J8" s="16" t="n">
        <v>153</v>
      </c>
    </row>
    <row r="9">
      <c r="A9" t="inlineStr">
        <is>
          <t>FY2030</t>
        </is>
      </c>
      <c r="B9" s="10" t="n">
        <v>0.3</v>
      </c>
      <c r="C9" s="10" t="n">
        <v>0.1133</v>
      </c>
      <c r="D9" s="10" t="n">
        <v>-0.0034</v>
      </c>
      <c r="E9" s="10" t="n">
        <v>-0.002</v>
      </c>
      <c r="F9" s="10" t="n">
        <v>-0.0013</v>
      </c>
      <c r="G9" s="9" t="n">
        <v>0.12</v>
      </c>
      <c r="H9" s="16" t="n">
        <v>14395</v>
      </c>
      <c r="I9" s="16" t="n">
        <v>1552</v>
      </c>
      <c r="J9" s="16" t="n">
        <v>-43</v>
      </c>
    </row>
    <row r="11">
      <c r="A11" s="3" t="inlineStr">
        <is>
          <t>Runs For Cash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</row>
    <row r="12">
      <c r="A12" s="4" t="inlineStr">
        <is>
          <t>FY</t>
        </is>
      </c>
      <c r="B12" s="4" t="inlineStr">
        <is>
          <t>Consumption % of sub</t>
        </is>
      </c>
      <c r="C12" s="4" t="inlineStr">
        <is>
          <t>Total sub growth %</t>
        </is>
      </c>
      <c r="D12" s="4" t="inlineStr">
        <is>
          <t>Seats × ARPU %</t>
        </is>
      </c>
      <c r="E12" s="4" t="inlineStr">
        <is>
          <t>Add-on attach %</t>
        </is>
      </c>
      <c r="F12" s="4" t="inlineStr">
        <is>
          <t>Baseline pricing %</t>
        </is>
      </c>
      <c r="G12" s="4" t="inlineStr">
        <is>
          <t>Consumption uplift %</t>
        </is>
      </c>
      <c r="H12" s="4" t="inlineStr">
        <is>
          <t>Sub revenue ($M)</t>
        </is>
      </c>
      <c r="I12" s="4" t="inlineStr">
        <is>
          <t>Consumption $ ($M)</t>
        </is>
      </c>
      <c r="J12" s="4" t="inlineStr">
        <is>
          <t>Seats × ARPU $ ($M)</t>
        </is>
      </c>
    </row>
    <row r="13">
      <c r="A13" t="inlineStr">
        <is>
          <t>FY2027</t>
        </is>
      </c>
      <c r="B13" s="10" t="n">
        <v>0</v>
      </c>
      <c r="C13" s="10" t="n">
        <v>0.0533</v>
      </c>
      <c r="D13" s="10" t="n">
        <v>0.0267</v>
      </c>
      <c r="E13" s="10" t="n">
        <v>0.016</v>
      </c>
      <c r="F13" s="10" t="n">
        <v>0.0107</v>
      </c>
      <c r="G13" s="9" t="n">
        <v>0</v>
      </c>
      <c r="H13" s="16" t="n">
        <v>9304</v>
      </c>
      <c r="I13" s="16" t="n">
        <v>0</v>
      </c>
      <c r="J13" s="16" t="n">
        <v>236</v>
      </c>
    </row>
    <row r="14">
      <c r="A14" t="inlineStr">
        <is>
          <t>FY2028</t>
        </is>
      </c>
      <c r="B14" s="10" t="n">
        <v>0.05</v>
      </c>
      <c r="C14" s="10" t="n">
        <v>-0.0333</v>
      </c>
      <c r="D14" s="10" t="n">
        <v>-0.0417</v>
      </c>
      <c r="E14" s="10" t="n">
        <v>-0.025</v>
      </c>
      <c r="F14" s="10" t="n">
        <v>-0.0167</v>
      </c>
      <c r="G14" s="9" t="n">
        <v>0.05</v>
      </c>
      <c r="H14" s="16" t="n">
        <v>8994</v>
      </c>
      <c r="I14" s="16" t="n">
        <v>465</v>
      </c>
      <c r="J14" s="16" t="n">
        <v>-388</v>
      </c>
    </row>
    <row r="15">
      <c r="A15" t="inlineStr">
        <is>
          <t>FY2029</t>
        </is>
      </c>
      <c r="B15" s="10" t="n">
        <v>0.12</v>
      </c>
      <c r="C15" s="10" t="n">
        <v>-0.09329999999999999</v>
      </c>
      <c r="D15" s="10" t="n">
        <v>-0.08169999999999999</v>
      </c>
      <c r="E15" s="10" t="n">
        <v>-0.049</v>
      </c>
      <c r="F15" s="10" t="n">
        <v>-0.0327</v>
      </c>
      <c r="G15" s="9" t="n">
        <v>0.07000000000000001</v>
      </c>
      <c r="H15" s="16" t="n">
        <v>8155</v>
      </c>
      <c r="I15" s="16" t="n">
        <v>630</v>
      </c>
      <c r="J15" s="16" t="n">
        <v>-734</v>
      </c>
    </row>
    <row r="16">
      <c r="A16" t="inlineStr">
        <is>
          <t>FY2030</t>
        </is>
      </c>
      <c r="B16" s="10" t="n">
        <v>0.2</v>
      </c>
      <c r="C16" s="10" t="n">
        <v>-0.1</v>
      </c>
      <c r="D16" s="10" t="n">
        <v>-0.09</v>
      </c>
      <c r="E16" s="10" t="n">
        <v>-0.05400000000000001</v>
      </c>
      <c r="F16" s="10" t="n">
        <v>-0.036</v>
      </c>
      <c r="G16" s="9" t="n">
        <v>0.08</v>
      </c>
      <c r="H16" s="16" t="n">
        <v>7340</v>
      </c>
      <c r="I16" s="16" t="n">
        <v>652</v>
      </c>
      <c r="J16" s="16" t="n">
        <v>-734</v>
      </c>
    </row>
    <row r="18">
      <c r="A18" s="3" t="inlineStr">
        <is>
          <t>What Goes Wrong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  <row r="19">
      <c r="A19" s="4" t="inlineStr">
        <is>
          <t>FY</t>
        </is>
      </c>
      <c r="B19" s="4" t="inlineStr">
        <is>
          <t>Consumption % of sub</t>
        </is>
      </c>
      <c r="C19" s="4" t="inlineStr">
        <is>
          <t>Total sub growth %</t>
        </is>
      </c>
      <c r="D19" s="4" t="inlineStr">
        <is>
          <t>Seats × ARPU %</t>
        </is>
      </c>
      <c r="E19" s="4" t="inlineStr">
        <is>
          <t>Add-on attach %</t>
        </is>
      </c>
      <c r="F19" s="4" t="inlineStr">
        <is>
          <t>Baseline pricing %</t>
        </is>
      </c>
      <c r="G19" s="4" t="inlineStr">
        <is>
          <t>Consumption uplift %</t>
        </is>
      </c>
      <c r="H19" s="4" t="inlineStr">
        <is>
          <t>Sub revenue ($M)</t>
        </is>
      </c>
      <c r="I19" s="4" t="inlineStr">
        <is>
          <t>Consumption $ ($M)</t>
        </is>
      </c>
      <c r="J19" s="4" t="inlineStr">
        <is>
          <t>Seats × ARPU $ ($M)</t>
        </is>
      </c>
    </row>
    <row r="20">
      <c r="A20" t="inlineStr">
        <is>
          <t>FY2027</t>
        </is>
      </c>
      <c r="B20" s="10" t="n">
        <v>0</v>
      </c>
      <c r="C20" s="10" t="n">
        <v>-0.0467</v>
      </c>
      <c r="D20" s="10" t="n">
        <v>-0.0233</v>
      </c>
      <c r="E20" s="10" t="n">
        <v>-0.014</v>
      </c>
      <c r="F20" s="10" t="n">
        <v>-0.009300000000000001</v>
      </c>
      <c r="G20" s="9" t="n">
        <v>0</v>
      </c>
      <c r="H20" s="16" t="n">
        <v>8421</v>
      </c>
      <c r="I20" s="16" t="n">
        <v>0</v>
      </c>
      <c r="J20" s="16" t="n">
        <v>-206</v>
      </c>
    </row>
    <row r="21">
      <c r="A21" t="inlineStr">
        <is>
          <t>FY2028</t>
        </is>
      </c>
      <c r="B21" s="10" t="n">
        <v>0.03</v>
      </c>
      <c r="C21" s="10" t="n">
        <v>-0.09669999999999999</v>
      </c>
      <c r="D21" s="10" t="n">
        <v>-0.0633</v>
      </c>
      <c r="E21" s="10" t="n">
        <v>-0.038</v>
      </c>
      <c r="F21" s="10" t="n">
        <v>-0.0253</v>
      </c>
      <c r="G21" s="9" t="n">
        <v>0.03</v>
      </c>
      <c r="H21" s="16" t="n">
        <v>7607</v>
      </c>
      <c r="I21" s="16" t="n">
        <v>253</v>
      </c>
      <c r="J21" s="16" t="n">
        <v>-533</v>
      </c>
    </row>
    <row r="22">
      <c r="A22" t="inlineStr">
        <is>
          <t>FY2029</t>
        </is>
      </c>
      <c r="B22" s="10" t="n">
        <v>0.08</v>
      </c>
      <c r="C22" s="10" t="n">
        <v>-0.1067</v>
      </c>
      <c r="D22" s="10" t="n">
        <v>-0.07829999999999999</v>
      </c>
      <c r="E22" s="10" t="n">
        <v>-0.047</v>
      </c>
      <c r="F22" s="10" t="n">
        <v>-0.0313</v>
      </c>
      <c r="G22" s="9" t="n">
        <v>0.05</v>
      </c>
      <c r="H22" s="16" t="n">
        <v>6796</v>
      </c>
      <c r="I22" s="16" t="n">
        <v>380</v>
      </c>
      <c r="J22" s="16" t="n">
        <v>-596</v>
      </c>
    </row>
    <row r="23">
      <c r="A23" t="inlineStr">
        <is>
          <t>FY2030</t>
        </is>
      </c>
      <c r="B23" s="10" t="n">
        <v>0.15</v>
      </c>
      <c r="C23" s="10" t="n">
        <v>-0.09669999999999999</v>
      </c>
      <c r="D23" s="10" t="n">
        <v>-0.0833</v>
      </c>
      <c r="E23" s="10" t="n">
        <v>-0.05</v>
      </c>
      <c r="F23" s="10" t="n">
        <v>-0.0333</v>
      </c>
      <c r="G23" s="9" t="n">
        <v>0.07000000000000001</v>
      </c>
      <c r="H23" s="16" t="n">
        <v>6139</v>
      </c>
      <c r="I23" s="16" t="n">
        <v>476</v>
      </c>
      <c r="J23" s="16" t="n">
        <v>-566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SBC compression × exit multiple → FY30 share price</t>
        </is>
      </c>
    </row>
    <row r="2">
      <c r="A2" t="inlineStr">
        <is>
          <t>SBC % of revenue (FY30)  ↓  ×  FCF exit multiple  →</t>
        </is>
      </c>
    </row>
    <row r="4">
      <c r="A4" s="2" t="inlineStr">
        <is>
          <t>SBC % of revenue (FY30) ↓</t>
        </is>
      </c>
      <c r="B4" s="14" t="inlineStr">
        <is>
          <t>16×</t>
        </is>
      </c>
      <c r="C4" s="14" t="inlineStr">
        <is>
          <t>18×</t>
        </is>
      </c>
      <c r="D4" s="14" t="inlineStr">
        <is>
          <t>20×</t>
        </is>
      </c>
      <c r="E4" s="14" t="inlineStr">
        <is>
          <t>22×</t>
        </is>
      </c>
      <c r="F4" s="14" t="inlineStr">
        <is>
          <t>24×</t>
        </is>
      </c>
      <c r="G4" s="14" t="inlineStr">
        <is>
          <t>26×</t>
        </is>
      </c>
    </row>
    <row r="5">
      <c r="A5" s="3" t="inlineStr">
        <is>
          <t>+16%</t>
        </is>
      </c>
      <c r="B5" s="38" t="n">
        <v>240.44</v>
      </c>
      <c r="C5" s="38" t="n">
        <v>269.67</v>
      </c>
      <c r="D5" s="38" t="n">
        <v>298.9</v>
      </c>
      <c r="E5" s="39" t="n">
        <v>328.13</v>
      </c>
      <c r="F5" s="39" t="n">
        <v>357.36</v>
      </c>
      <c r="G5" s="39" t="n">
        <v>386.58</v>
      </c>
    </row>
    <row r="6">
      <c r="A6" s="3" t="inlineStr">
        <is>
          <t>+14%</t>
        </is>
      </c>
      <c r="B6" s="38" t="n">
        <v>262.72</v>
      </c>
      <c r="C6" s="38" t="n">
        <v>294.73</v>
      </c>
      <c r="D6" s="39" t="n">
        <v>326.74</v>
      </c>
      <c r="E6" s="39" t="n">
        <v>358.75</v>
      </c>
      <c r="F6" s="39" t="n">
        <v>390.76</v>
      </c>
      <c r="G6" s="39" t="n">
        <v>422.78</v>
      </c>
    </row>
    <row r="7">
      <c r="A7" s="3" t="inlineStr">
        <is>
          <t>+12%</t>
        </is>
      </c>
      <c r="B7" s="38" t="n">
        <v>284.99</v>
      </c>
      <c r="C7" s="38" t="n">
        <v>319.78</v>
      </c>
      <c r="D7" s="39" t="n">
        <v>354.58</v>
      </c>
      <c r="E7" s="39" t="n">
        <v>389.38</v>
      </c>
      <c r="F7" s="39" t="n">
        <v>424.17</v>
      </c>
      <c r="G7" s="39" t="n">
        <v>458.97</v>
      </c>
    </row>
    <row r="8">
      <c r="A8" s="3" t="inlineStr">
        <is>
          <t>+10%</t>
        </is>
      </c>
      <c r="B8" s="38" t="n">
        <v>307.26</v>
      </c>
      <c r="C8" s="39" t="n">
        <v>344.84</v>
      </c>
      <c r="D8" s="39" t="n">
        <v>382.42</v>
      </c>
      <c r="E8" s="39" t="n">
        <v>420</v>
      </c>
      <c r="F8" s="39" t="n">
        <v>457.58</v>
      </c>
      <c r="G8" s="39" t="n">
        <v>495.16</v>
      </c>
    </row>
    <row r="9">
      <c r="A9" s="3" t="inlineStr">
        <is>
          <t>+8%</t>
        </is>
      </c>
      <c r="B9" s="39" t="n">
        <v>329.53</v>
      </c>
      <c r="C9" s="39" t="n">
        <v>369.9</v>
      </c>
      <c r="D9" s="39" t="n">
        <v>410.26</v>
      </c>
      <c r="E9" s="39" t="n">
        <v>450.62</v>
      </c>
      <c r="F9" s="39" t="n">
        <v>490.99</v>
      </c>
      <c r="G9" s="39" t="n">
        <v>531.35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Subscription growth × exit multiple → FY30 share price</t>
        </is>
      </c>
    </row>
    <row r="2">
      <c r="A2" t="inlineStr">
        <is>
          <t>4-yr subscription growth CAGR  ↓  ×  FCF exit multiple  →</t>
        </is>
      </c>
    </row>
    <row r="4">
      <c r="A4" s="2" t="inlineStr">
        <is>
          <t>4-yr subscription growth CAGR ↓</t>
        </is>
      </c>
      <c r="B4" s="14" t="inlineStr">
        <is>
          <t>10×</t>
        </is>
      </c>
      <c r="C4" s="14" t="inlineStr">
        <is>
          <t>14×</t>
        </is>
      </c>
      <c r="D4" s="14" t="inlineStr">
        <is>
          <t>18×</t>
        </is>
      </c>
      <c r="E4" s="14" t="inlineStr">
        <is>
          <t>22×</t>
        </is>
      </c>
      <c r="F4" s="14" t="inlineStr">
        <is>
          <t>26×</t>
        </is>
      </c>
      <c r="G4" s="14" t="inlineStr">
        <is>
          <t>30×</t>
        </is>
      </c>
    </row>
    <row r="5">
      <c r="A5" s="3" t="inlineStr">
        <is>
          <t>-5%</t>
        </is>
      </c>
      <c r="B5" s="37" t="n">
        <v>117.9</v>
      </c>
      <c r="C5" s="35" t="n">
        <v>162.41</v>
      </c>
      <c r="D5" s="38" t="n">
        <v>206.93</v>
      </c>
      <c r="E5" s="38" t="n">
        <v>251.44</v>
      </c>
      <c r="F5" s="38" t="n">
        <v>295.95</v>
      </c>
      <c r="G5" s="39" t="n">
        <v>340.46</v>
      </c>
    </row>
    <row r="6">
      <c r="A6" s="3" t="inlineStr">
        <is>
          <t>+0%</t>
        </is>
      </c>
      <c r="B6" s="35" t="n">
        <v>143.24</v>
      </c>
      <c r="C6" s="38" t="n">
        <v>197.89</v>
      </c>
      <c r="D6" s="38" t="n">
        <v>252.54</v>
      </c>
      <c r="E6" s="38" t="n">
        <v>307.19</v>
      </c>
      <c r="F6" s="39" t="n">
        <v>361.84</v>
      </c>
      <c r="G6" s="39" t="n">
        <v>416.49</v>
      </c>
    </row>
    <row r="7">
      <c r="A7" s="3" t="inlineStr">
        <is>
          <t>+5%</t>
        </is>
      </c>
      <c r="B7" s="35" t="n">
        <v>172.69</v>
      </c>
      <c r="C7" s="38" t="n">
        <v>239.12</v>
      </c>
      <c r="D7" s="38" t="n">
        <v>305.54</v>
      </c>
      <c r="E7" s="39" t="n">
        <v>371.97</v>
      </c>
      <c r="F7" s="39" t="n">
        <v>438.4</v>
      </c>
      <c r="G7" s="39" t="n">
        <v>504.82</v>
      </c>
    </row>
    <row r="8">
      <c r="A8" s="3" t="inlineStr">
        <is>
          <t>+10%</t>
        </is>
      </c>
      <c r="B8" s="38" t="n">
        <v>206.65</v>
      </c>
      <c r="C8" s="38" t="n">
        <v>286.66</v>
      </c>
      <c r="D8" s="39" t="n">
        <v>366.68</v>
      </c>
      <c r="E8" s="39" t="n">
        <v>446.69</v>
      </c>
      <c r="F8" s="39" t="n">
        <v>526.7</v>
      </c>
      <c r="G8" s="39" t="n">
        <v>606.72</v>
      </c>
    </row>
    <row r="9">
      <c r="A9" s="3" t="inlineStr">
        <is>
          <t>+15%</t>
        </is>
      </c>
      <c r="B9" s="38" t="n">
        <v>245.58</v>
      </c>
      <c r="C9" s="39" t="n">
        <v>341.16</v>
      </c>
      <c r="D9" s="39" t="n">
        <v>436.74</v>
      </c>
      <c r="E9" s="39" t="n">
        <v>532.33</v>
      </c>
      <c r="F9" s="39" t="n">
        <v>627.91</v>
      </c>
      <c r="G9" s="39" t="n">
        <v>723.49</v>
      </c>
    </row>
    <row r="10">
      <c r="A10" s="3" t="inlineStr">
        <is>
          <t>+20%</t>
        </is>
      </c>
      <c r="B10" s="38" t="n">
        <v>289.92</v>
      </c>
      <c r="C10" s="39" t="n">
        <v>403.25</v>
      </c>
      <c r="D10" s="39" t="n">
        <v>516.5700000000001</v>
      </c>
      <c r="E10" s="39" t="n">
        <v>629.89</v>
      </c>
      <c r="F10" s="39" t="n">
        <v>743.21</v>
      </c>
      <c r="G10" s="39" t="n">
        <v>856.53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Pricing transition × FY30 FCF margin → FY30 FCF/share</t>
        </is>
      </c>
    </row>
    <row r="2">
      <c r="A2" t="inlineStr">
        <is>
          <t>Consumption % of subscription (FY30)  ↓  ×  FCF margin  →</t>
        </is>
      </c>
    </row>
    <row r="4">
      <c r="A4" s="2" t="inlineStr">
        <is>
          <t>Consumption % of subscription (FY30) ↓</t>
        </is>
      </c>
      <c r="B4" s="14" t="inlineStr">
        <is>
          <t>+25%</t>
        </is>
      </c>
      <c r="C4" s="14" t="inlineStr">
        <is>
          <t>+30%</t>
        </is>
      </c>
      <c r="D4" s="14" t="inlineStr">
        <is>
          <t>+33%</t>
        </is>
      </c>
      <c r="E4" s="14" t="inlineStr">
        <is>
          <t>+36%</t>
        </is>
      </c>
      <c r="F4" s="14" t="inlineStr">
        <is>
          <t>+39%</t>
        </is>
      </c>
      <c r="G4" s="14" t="inlineStr">
        <is>
          <t>+42%</t>
        </is>
      </c>
    </row>
    <row r="5">
      <c r="A5" s="3" t="inlineStr">
        <is>
          <t>+0%</t>
        </is>
      </c>
      <c r="B5" s="6" t="n">
        <v>17.02</v>
      </c>
      <c r="C5" s="6" t="n">
        <v>20.42</v>
      </c>
      <c r="D5" s="6" t="n">
        <v>22.46</v>
      </c>
      <c r="E5" s="6" t="n">
        <v>24.5</v>
      </c>
      <c r="F5" s="6" t="n">
        <v>26.55</v>
      </c>
      <c r="G5" s="6" t="n">
        <v>28.59</v>
      </c>
    </row>
    <row r="6">
      <c r="A6" s="3" t="inlineStr">
        <is>
          <t>+10%</t>
        </is>
      </c>
      <c r="B6" s="6" t="n">
        <v>18.65</v>
      </c>
      <c r="C6" s="6" t="n">
        <v>22.38</v>
      </c>
      <c r="D6" s="6" t="n">
        <v>24.62</v>
      </c>
      <c r="E6" s="6" t="n">
        <v>26.86</v>
      </c>
      <c r="F6" s="6" t="n">
        <v>29.1</v>
      </c>
      <c r="G6" s="6" t="n">
        <v>31.33</v>
      </c>
    </row>
    <row r="7">
      <c r="A7" s="3" t="inlineStr">
        <is>
          <t>+20%</t>
        </is>
      </c>
      <c r="B7" s="6" t="n">
        <v>20.29</v>
      </c>
      <c r="C7" s="6" t="n">
        <v>24.34</v>
      </c>
      <c r="D7" s="6" t="n">
        <v>26.78</v>
      </c>
      <c r="E7" s="6" t="n">
        <v>29.21</v>
      </c>
      <c r="F7" s="6" t="n">
        <v>31.65</v>
      </c>
      <c r="G7" s="6" t="n">
        <v>34.08</v>
      </c>
    </row>
    <row r="8">
      <c r="A8" s="3" t="inlineStr">
        <is>
          <t>+30%</t>
        </is>
      </c>
      <c r="B8" s="6" t="n">
        <v>21.92</v>
      </c>
      <c r="C8" s="6" t="n">
        <v>26.3</v>
      </c>
      <c r="D8" s="6" t="n">
        <v>28.93</v>
      </c>
      <c r="E8" s="6" t="n">
        <v>31.56</v>
      </c>
      <c r="F8" s="6" t="n">
        <v>34.19</v>
      </c>
      <c r="G8" s="6" t="n">
        <v>36.82</v>
      </c>
    </row>
    <row r="9">
      <c r="A9" s="3" t="inlineStr">
        <is>
          <t>+40%</t>
        </is>
      </c>
      <c r="B9" s="6" t="n">
        <v>23.55</v>
      </c>
      <c r="C9" s="6" t="n">
        <v>28.26</v>
      </c>
      <c r="D9" s="6" t="n">
        <v>31.09</v>
      </c>
      <c r="E9" s="6" t="n">
        <v>33.92</v>
      </c>
      <c r="F9" s="6" t="n">
        <v>36.74</v>
      </c>
      <c r="G9" s="6" t="n">
        <v>39.57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Four-stream revenue build (HCM ARR / Financials ARR / AI ARR / Services)</t>
        </is>
      </c>
    </row>
    <row r="3">
      <c r="A3" s="2" t="inlineStr">
        <is>
          <t>FY26 base ($M):</t>
        </is>
      </c>
      <c r="B3" t="inlineStr">
        <is>
          <t>HCM $5,629  |  Financials $2,804  |  AI ARR $400  |  Services $719  |  Total $9,552</t>
        </is>
      </c>
    </row>
    <row r="5">
      <c r="A5" s="3" t="inlineStr">
        <is>
          <t>Good AI</t>
        </is>
      </c>
      <c r="B5" s="17" t="n"/>
      <c r="C5" s="17" t="n"/>
      <c r="D5" s="17" t="n"/>
      <c r="E5" s="17" t="n"/>
      <c r="F5" s="17" t="n"/>
      <c r="G5" s="17" t="n"/>
    </row>
    <row r="6">
      <c r="A6" s="4" t="inlineStr">
        <is>
          <t>$M unless noted</t>
        </is>
      </c>
      <c r="B6" s="4" t="inlineStr">
        <is>
          <t>FY27</t>
        </is>
      </c>
      <c r="C6" s="4" t="inlineStr">
        <is>
          <t>FY28</t>
        </is>
      </c>
      <c r="D6" s="4" t="inlineStr">
        <is>
          <t>FY29</t>
        </is>
      </c>
      <c r="E6" s="4" t="inlineStr">
        <is>
          <t>FY30</t>
        </is>
      </c>
    </row>
    <row r="7">
      <c r="A7" s="18" t="inlineStr">
        <is>
          <t>HCM ARR</t>
        </is>
      </c>
      <c r="B7" s="16" t="n">
        <v>5930</v>
      </c>
      <c r="C7" s="16" t="n">
        <v>6374</v>
      </c>
      <c r="D7" s="16" t="n">
        <v>6922</v>
      </c>
      <c r="E7" s="16" t="n">
        <v>7491</v>
      </c>
    </row>
    <row r="8">
      <c r="A8" s="18" t="inlineStr">
        <is>
          <t>Financials ARR</t>
        </is>
      </c>
      <c r="B8" s="16" t="n">
        <v>3360</v>
      </c>
      <c r="C8" s="16" t="n">
        <v>4050</v>
      </c>
      <c r="D8" s="16" t="n">
        <v>4830</v>
      </c>
      <c r="E8" s="16" t="n">
        <v>5676</v>
      </c>
    </row>
    <row r="9">
      <c r="A9" s="18" t="inlineStr">
        <is>
          <t>AI ARR booked</t>
        </is>
      </c>
      <c r="B9" s="16" t="n">
        <v>800</v>
      </c>
      <c r="C9" s="16" t="n">
        <v>1440</v>
      </c>
      <c r="D9" s="16" t="n">
        <v>2304</v>
      </c>
      <c r="E9" s="16" t="n">
        <v>3226</v>
      </c>
    </row>
    <row r="10">
      <c r="A10" s="2" t="inlineStr">
        <is>
          <t>AI ARR recognized</t>
        </is>
      </c>
      <c r="B10" s="30" t="n">
        <v>560</v>
      </c>
      <c r="C10" s="30" t="n">
        <v>1200</v>
      </c>
      <c r="D10" s="30" t="n">
        <v>2143</v>
      </c>
      <c r="E10" s="30" t="n">
        <v>3152</v>
      </c>
    </row>
    <row r="11">
      <c r="A11" s="18" t="inlineStr">
        <is>
          <t>AI deferred balance</t>
        </is>
      </c>
      <c r="B11" s="19" t="n">
        <v>240</v>
      </c>
      <c r="C11" s="19" t="n">
        <v>480</v>
      </c>
      <c r="D11" s="19" t="n">
        <v>641</v>
      </c>
      <c r="E11" s="19" t="n">
        <v>714</v>
      </c>
    </row>
    <row r="12">
      <c r="A12" s="18" t="inlineStr">
        <is>
          <t>Services</t>
        </is>
      </c>
      <c r="B12" s="16" t="n">
        <v>712</v>
      </c>
      <c r="C12" s="16" t="n">
        <v>698</v>
      </c>
      <c r="D12" s="16" t="n">
        <v>698</v>
      </c>
      <c r="E12" s="16" t="n">
        <v>712</v>
      </c>
    </row>
    <row r="13">
      <c r="A13" s="2" t="inlineStr">
        <is>
          <t>Total revenue</t>
        </is>
      </c>
      <c r="B13" s="30" t="n">
        <v>10561</v>
      </c>
      <c r="C13" s="30" t="n">
        <v>12322</v>
      </c>
      <c r="D13" s="30" t="n">
        <v>14593</v>
      </c>
      <c r="E13" s="30" t="n">
        <v>17031</v>
      </c>
    </row>
    <row r="14">
      <c r="A14" t="inlineStr">
        <is>
          <t>HCM ARR GM %</t>
        </is>
      </c>
      <c r="B14" s="10" t="n">
        <v>0.84</v>
      </c>
      <c r="C14" s="10" t="n">
        <v>0.84</v>
      </c>
      <c r="D14" s="10" t="n">
        <v>0.84</v>
      </c>
      <c r="E14" s="10" t="n">
        <v>0.84</v>
      </c>
    </row>
    <row r="15">
      <c r="A15" t="inlineStr">
        <is>
          <t>Financials GM %</t>
        </is>
      </c>
      <c r="B15" s="10" t="n">
        <v>0.8</v>
      </c>
      <c r="C15" s="10" t="n">
        <v>0.8100000000000001</v>
      </c>
      <c r="D15" s="10" t="n">
        <v>0.82</v>
      </c>
      <c r="E15" s="10" t="n">
        <v>0.83</v>
      </c>
    </row>
    <row r="16">
      <c r="A16" t="inlineStr">
        <is>
          <t>AI ARR GM %</t>
        </is>
      </c>
      <c r="B16" s="10" t="n">
        <v>0.5</v>
      </c>
      <c r="C16" s="10" t="n">
        <v>0.55</v>
      </c>
      <c r="D16" s="10" t="n">
        <v>0.6</v>
      </c>
      <c r="E16" s="10" t="n">
        <v>0.65</v>
      </c>
    </row>
    <row r="17">
      <c r="A17" t="inlineStr">
        <is>
          <t>Services GM %</t>
        </is>
      </c>
      <c r="B17" s="10" t="n">
        <v>-0.1</v>
      </c>
      <c r="C17" s="10" t="n">
        <v>-0.08</v>
      </c>
      <c r="D17" s="10" t="n">
        <v>-0.05</v>
      </c>
      <c r="E17" s="10" t="n">
        <v>-0.02</v>
      </c>
    </row>
    <row r="18">
      <c r="A18" t="inlineStr">
        <is>
          <t>Blended GM %</t>
        </is>
      </c>
      <c r="B18" s="10" t="n">
        <v>0.7459</v>
      </c>
      <c r="C18" s="10" t="n">
        <v>0.7498</v>
      </c>
      <c r="D18" s="10" t="n">
        <v>0.7556</v>
      </c>
      <c r="E18" s="10" t="n">
        <v>0.7655999999999999</v>
      </c>
    </row>
    <row r="19">
      <c r="A19" s="18" t="inlineStr">
        <is>
          <t>GP HCM ARR</t>
        </is>
      </c>
      <c r="B19" s="19" t="n">
        <v>4981</v>
      </c>
      <c r="C19" s="19" t="n">
        <v>5354</v>
      </c>
      <c r="D19" s="19" t="n">
        <v>5815</v>
      </c>
      <c r="E19" s="19" t="n">
        <v>6292</v>
      </c>
    </row>
    <row r="20">
      <c r="A20" s="18" t="inlineStr">
        <is>
          <t>GP Financials</t>
        </is>
      </c>
      <c r="B20" s="19" t="n">
        <v>2688</v>
      </c>
      <c r="C20" s="19" t="n">
        <v>3280</v>
      </c>
      <c r="D20" s="19" t="n">
        <v>3961</v>
      </c>
      <c r="E20" s="19" t="n">
        <v>4711</v>
      </c>
    </row>
    <row r="21">
      <c r="A21" s="18" t="inlineStr">
        <is>
          <t>GP AI ARR</t>
        </is>
      </c>
      <c r="B21" s="19" t="n">
        <v>280</v>
      </c>
      <c r="C21" s="19" t="n">
        <v>660</v>
      </c>
      <c r="D21" s="19" t="n">
        <v>1286</v>
      </c>
      <c r="E21" s="19" t="n">
        <v>2049</v>
      </c>
    </row>
    <row r="22">
      <c r="A22" s="18" t="inlineStr">
        <is>
          <t>GP Services</t>
        </is>
      </c>
      <c r="B22" s="19" t="n">
        <v>-71</v>
      </c>
      <c r="C22" s="19" t="n">
        <v>-56</v>
      </c>
      <c r="D22" s="19" t="n">
        <v>-35</v>
      </c>
      <c r="E22" s="19" t="n">
        <v>-14</v>
      </c>
    </row>
    <row r="23">
      <c r="A23" s="2" t="inlineStr">
        <is>
          <t>Total GP</t>
        </is>
      </c>
      <c r="B23" s="21" t="n">
        <v>7878</v>
      </c>
      <c r="C23" s="21" t="n">
        <v>9239</v>
      </c>
      <c r="D23" s="21" t="n">
        <v>11026</v>
      </c>
      <c r="E23" s="21" t="n">
        <v>13038</v>
      </c>
    </row>
    <row r="25">
      <c r="A25" s="3" t="inlineStr">
        <is>
          <t>Runs For Cash</t>
        </is>
      </c>
      <c r="B25" s="17" t="n"/>
      <c r="C25" s="17" t="n"/>
      <c r="D25" s="17" t="n"/>
      <c r="E25" s="17" t="n"/>
      <c r="F25" s="17" t="n"/>
      <c r="G25" s="17" t="n"/>
    </row>
    <row r="26">
      <c r="A26" s="4" t="inlineStr">
        <is>
          <t>$M unless noted</t>
        </is>
      </c>
      <c r="B26" s="4" t="inlineStr">
        <is>
          <t>FY27</t>
        </is>
      </c>
      <c r="C26" s="4" t="inlineStr">
        <is>
          <t>FY28</t>
        </is>
      </c>
      <c r="D26" s="4" t="inlineStr">
        <is>
          <t>FY29</t>
        </is>
      </c>
      <c r="E26" s="4" t="inlineStr">
        <is>
          <t>FY30</t>
        </is>
      </c>
    </row>
    <row r="27">
      <c r="A27" s="18" t="inlineStr">
        <is>
          <t>HCM ARR</t>
        </is>
      </c>
      <c r="B27" s="16" t="n">
        <v>5867</v>
      </c>
      <c r="C27" s="16" t="n">
        <v>5663</v>
      </c>
      <c r="D27" s="16" t="n">
        <v>5370</v>
      </c>
      <c r="E27" s="16" t="n">
        <v>5040</v>
      </c>
    </row>
    <row r="28">
      <c r="A28" s="18" t="inlineStr">
        <is>
          <t>Financials ARR</t>
        </is>
      </c>
      <c r="B28" s="16" t="n">
        <v>2812</v>
      </c>
      <c r="C28" s="16" t="n">
        <v>2621</v>
      </c>
      <c r="D28" s="16" t="n">
        <v>2236</v>
      </c>
      <c r="E28" s="16" t="n">
        <v>1948</v>
      </c>
    </row>
    <row r="29">
      <c r="A29" s="18" t="inlineStr">
        <is>
          <t>AI ARR booked</t>
        </is>
      </c>
      <c r="B29" s="16" t="n">
        <v>520</v>
      </c>
      <c r="C29" s="16" t="n">
        <v>598</v>
      </c>
      <c r="D29" s="16" t="n">
        <v>628</v>
      </c>
      <c r="E29" s="16" t="n">
        <v>628</v>
      </c>
    </row>
    <row r="30">
      <c r="A30" s="2" t="inlineStr">
        <is>
          <t>AI ARR recognized</t>
        </is>
      </c>
      <c r="B30" s="30" t="n">
        <v>416</v>
      </c>
      <c r="C30" s="30" t="n">
        <v>560</v>
      </c>
      <c r="D30" s="30" t="n">
        <v>662</v>
      </c>
      <c r="E30" s="30" t="n">
        <v>641</v>
      </c>
    </row>
    <row r="31">
      <c r="A31" s="18" t="inlineStr">
        <is>
          <t>AI deferred balance</t>
        </is>
      </c>
      <c r="B31" s="19" t="n">
        <v>104</v>
      </c>
      <c r="C31" s="19" t="n">
        <v>142</v>
      </c>
      <c r="D31" s="19" t="n">
        <v>108</v>
      </c>
      <c r="E31" s="19" t="n">
        <v>94</v>
      </c>
    </row>
    <row r="32">
      <c r="A32" s="18" t="inlineStr">
        <is>
          <t>Services</t>
        </is>
      </c>
      <c r="B32" s="16" t="n">
        <v>697</v>
      </c>
      <c r="C32" s="16" t="n">
        <v>628</v>
      </c>
      <c r="D32" s="16" t="n">
        <v>552</v>
      </c>
      <c r="E32" s="16" t="n">
        <v>486</v>
      </c>
    </row>
    <row r="33">
      <c r="A33" s="2" t="inlineStr">
        <is>
          <t>Total revenue</t>
        </is>
      </c>
      <c r="B33" s="30" t="n">
        <v>9793</v>
      </c>
      <c r="C33" s="30" t="n">
        <v>9472</v>
      </c>
      <c r="D33" s="30" t="n">
        <v>8821</v>
      </c>
      <c r="E33" s="30" t="n">
        <v>8115</v>
      </c>
    </row>
    <row r="34">
      <c r="A34" t="inlineStr">
        <is>
          <t>HCM ARR GM %</t>
        </is>
      </c>
      <c r="B34" s="10" t="n">
        <v>0.84</v>
      </c>
      <c r="C34" s="10" t="n">
        <v>0.84</v>
      </c>
      <c r="D34" s="10" t="n">
        <v>0.84</v>
      </c>
      <c r="E34" s="10" t="n">
        <v>0.84</v>
      </c>
    </row>
    <row r="35">
      <c r="A35" t="inlineStr">
        <is>
          <t>Financials GM %</t>
        </is>
      </c>
      <c r="B35" s="10" t="n">
        <v>0.8</v>
      </c>
      <c r="C35" s="10" t="n">
        <v>0.8100000000000001</v>
      </c>
      <c r="D35" s="10" t="n">
        <v>0.82</v>
      </c>
      <c r="E35" s="10" t="n">
        <v>0.83</v>
      </c>
    </row>
    <row r="36">
      <c r="A36" t="inlineStr">
        <is>
          <t>AI ARR GM %</t>
        </is>
      </c>
      <c r="B36" s="10" t="n">
        <v>0.45</v>
      </c>
      <c r="C36" s="10" t="n">
        <v>0.45</v>
      </c>
      <c r="D36" s="10" t="n">
        <v>0.45</v>
      </c>
      <c r="E36" s="10" t="n">
        <v>0.45</v>
      </c>
    </row>
    <row r="37">
      <c r="A37" t="inlineStr">
        <is>
          <t>Services GM %</t>
        </is>
      </c>
      <c r="B37" s="10" t="n">
        <v>-0.1</v>
      </c>
      <c r="C37" s="10" t="n">
        <v>-0.12</v>
      </c>
      <c r="D37" s="10" t="n">
        <v>-0.13</v>
      </c>
      <c r="E37" s="10" t="n">
        <v>-0.15</v>
      </c>
    </row>
    <row r="38">
      <c r="A38" t="inlineStr">
        <is>
          <t>Blended GM %</t>
        </is>
      </c>
      <c r="B38" s="10" t="n">
        <v>0.745</v>
      </c>
      <c r="C38" s="10" t="n">
        <v>0.745</v>
      </c>
      <c r="D38" s="10" t="n">
        <v>0.7449</v>
      </c>
      <c r="E38" s="10" t="n">
        <v>0.7475000000000001</v>
      </c>
    </row>
    <row r="39">
      <c r="A39" s="18" t="inlineStr">
        <is>
          <t>GP HCM ARR</t>
        </is>
      </c>
      <c r="B39" s="19" t="n">
        <v>4928</v>
      </c>
      <c r="C39" s="19" t="n">
        <v>4757</v>
      </c>
      <c r="D39" s="19" t="n">
        <v>4511</v>
      </c>
      <c r="E39" s="19" t="n">
        <v>4234</v>
      </c>
    </row>
    <row r="40">
      <c r="A40" s="18" t="inlineStr">
        <is>
          <t>GP Financials</t>
        </is>
      </c>
      <c r="B40" s="19" t="n">
        <v>2250</v>
      </c>
      <c r="C40" s="19" t="n">
        <v>2123</v>
      </c>
      <c r="D40" s="19" t="n">
        <v>1834</v>
      </c>
      <c r="E40" s="19" t="n">
        <v>1616</v>
      </c>
    </row>
    <row r="41">
      <c r="A41" s="18" t="inlineStr">
        <is>
          <t>GP AI ARR</t>
        </is>
      </c>
      <c r="B41" s="19" t="n">
        <v>187</v>
      </c>
      <c r="C41" s="19" t="n">
        <v>252</v>
      </c>
      <c r="D41" s="19" t="n">
        <v>298</v>
      </c>
      <c r="E41" s="19" t="n">
        <v>289</v>
      </c>
    </row>
    <row r="42">
      <c r="A42" s="18" t="inlineStr">
        <is>
          <t>GP Services</t>
        </is>
      </c>
      <c r="B42" s="19" t="n">
        <v>-70</v>
      </c>
      <c r="C42" s="19" t="n">
        <v>-75</v>
      </c>
      <c r="D42" s="19" t="n">
        <v>-72</v>
      </c>
      <c r="E42" s="19" t="n">
        <v>-73</v>
      </c>
    </row>
    <row r="43">
      <c r="A43" s="2" t="inlineStr">
        <is>
          <t>Total GP</t>
        </is>
      </c>
      <c r="B43" s="21" t="n">
        <v>7296</v>
      </c>
      <c r="C43" s="21" t="n">
        <v>7057</v>
      </c>
      <c r="D43" s="21" t="n">
        <v>6571</v>
      </c>
      <c r="E43" s="21" t="n">
        <v>6066</v>
      </c>
    </row>
    <row r="45">
      <c r="A45" s="3" t="inlineStr">
        <is>
          <t>What Goes Wrong</t>
        </is>
      </c>
      <c r="B45" s="17" t="n"/>
      <c r="C45" s="17" t="n"/>
      <c r="D45" s="17" t="n"/>
      <c r="E45" s="17" t="n"/>
      <c r="F45" s="17" t="n"/>
      <c r="G45" s="17" t="n"/>
    </row>
    <row r="46">
      <c r="A46" s="4" t="inlineStr">
        <is>
          <t>$M unless noted</t>
        </is>
      </c>
      <c r="B46" s="4" t="inlineStr">
        <is>
          <t>FY27</t>
        </is>
      </c>
      <c r="C46" s="4" t="inlineStr">
        <is>
          <t>FY28</t>
        </is>
      </c>
      <c r="D46" s="4" t="inlineStr">
        <is>
          <t>FY29</t>
        </is>
      </c>
      <c r="E46" s="4" t="inlineStr">
        <is>
          <t>FY30</t>
        </is>
      </c>
    </row>
    <row r="47">
      <c r="A47" s="18" t="inlineStr">
        <is>
          <t>HCM ARR</t>
        </is>
      </c>
      <c r="B47" s="16" t="n">
        <v>5652</v>
      </c>
      <c r="C47" s="16" t="n">
        <v>5233</v>
      </c>
      <c r="D47" s="16" t="n">
        <v>4795</v>
      </c>
      <c r="E47" s="16" t="n">
        <v>4376</v>
      </c>
    </row>
    <row r="48">
      <c r="A48" s="18" t="inlineStr">
        <is>
          <t>Financials ARR</t>
        </is>
      </c>
      <c r="B48" s="16" t="n">
        <v>2640</v>
      </c>
      <c r="C48" s="16" t="n">
        <v>2310</v>
      </c>
      <c r="D48" s="16" t="n">
        <v>1950</v>
      </c>
      <c r="E48" s="16" t="n">
        <v>1656</v>
      </c>
    </row>
    <row r="49">
      <c r="A49" s="18" t="inlineStr">
        <is>
          <t>AI ARR booked</t>
        </is>
      </c>
      <c r="B49" s="16" t="n">
        <v>480</v>
      </c>
      <c r="C49" s="16" t="n">
        <v>528</v>
      </c>
      <c r="D49" s="16" t="n">
        <v>554</v>
      </c>
      <c r="E49" s="16" t="n">
        <v>554</v>
      </c>
    </row>
    <row r="50">
      <c r="A50" s="2" t="inlineStr">
        <is>
          <t>AI ARR recognized</t>
        </is>
      </c>
      <c r="B50" s="30" t="n">
        <v>408</v>
      </c>
      <c r="C50" s="30" t="n">
        <v>511</v>
      </c>
      <c r="D50" s="30" t="n">
        <v>589</v>
      </c>
      <c r="E50" s="30" t="n">
        <v>567</v>
      </c>
    </row>
    <row r="51">
      <c r="A51" s="18" t="inlineStr">
        <is>
          <t>AI deferred balance</t>
        </is>
      </c>
      <c r="B51" s="19" t="n">
        <v>72</v>
      </c>
      <c r="C51" s="19" t="n">
        <v>89</v>
      </c>
      <c r="D51" s="19" t="n">
        <v>54</v>
      </c>
      <c r="E51" s="19" t="n">
        <v>42</v>
      </c>
    </row>
    <row r="52">
      <c r="A52" s="18" t="inlineStr">
        <is>
          <t>Services</t>
        </is>
      </c>
      <c r="B52" s="16" t="n">
        <v>647</v>
      </c>
      <c r="C52" s="16" t="n">
        <v>550</v>
      </c>
      <c r="D52" s="16" t="n">
        <v>468</v>
      </c>
      <c r="E52" s="16" t="n">
        <v>411</v>
      </c>
    </row>
    <row r="53">
      <c r="A53" s="2" t="inlineStr">
        <is>
          <t>Total revenue</t>
        </is>
      </c>
      <c r="B53" s="30" t="n">
        <v>9347</v>
      </c>
      <c r="C53" s="30" t="n">
        <v>8604</v>
      </c>
      <c r="D53" s="30" t="n">
        <v>7802</v>
      </c>
      <c r="E53" s="30" t="n">
        <v>7010</v>
      </c>
    </row>
    <row r="54">
      <c r="A54" t="inlineStr">
        <is>
          <t>HCM ARR GM %</t>
        </is>
      </c>
      <c r="B54" s="10" t="n">
        <v>0.84</v>
      </c>
      <c r="C54" s="10" t="n">
        <v>0.84</v>
      </c>
      <c r="D54" s="10" t="n">
        <v>0.84</v>
      </c>
      <c r="E54" s="10" t="n">
        <v>0.84</v>
      </c>
    </row>
    <row r="55">
      <c r="A55" t="inlineStr">
        <is>
          <t>Financials GM %</t>
        </is>
      </c>
      <c r="B55" s="10" t="n">
        <v>0.8</v>
      </c>
      <c r="C55" s="10" t="n">
        <v>0.8100000000000001</v>
      </c>
      <c r="D55" s="10" t="n">
        <v>0.82</v>
      </c>
      <c r="E55" s="10" t="n">
        <v>0.83</v>
      </c>
    </row>
    <row r="56">
      <c r="A56" t="inlineStr">
        <is>
          <t>AI ARR GM %</t>
        </is>
      </c>
      <c r="B56" s="10" t="n">
        <v>0.4</v>
      </c>
      <c r="C56" s="10" t="n">
        <v>0.4</v>
      </c>
      <c r="D56" s="10" t="n">
        <v>0.4</v>
      </c>
      <c r="E56" s="10" t="n">
        <v>0.4</v>
      </c>
    </row>
    <row r="57">
      <c r="A57" t="inlineStr">
        <is>
          <t>Services GM %</t>
        </is>
      </c>
      <c r="B57" s="10" t="n">
        <v>-0.1</v>
      </c>
      <c r="C57" s="10" t="n">
        <v>-0.13</v>
      </c>
      <c r="D57" s="10" t="n">
        <v>-0.16</v>
      </c>
      <c r="E57" s="10" t="n">
        <v>-0.18</v>
      </c>
    </row>
    <row r="58">
      <c r="A58" t="inlineStr">
        <is>
          <t>Blended GM %</t>
        </is>
      </c>
      <c r="B58" s="10" t="n">
        <v>0.7444</v>
      </c>
      <c r="C58" s="10" t="n">
        <v>0.7438</v>
      </c>
      <c r="D58" s="10" t="n">
        <v>0.7419</v>
      </c>
      <c r="E58" s="10" t="n">
        <v>0.7422</v>
      </c>
    </row>
    <row r="59">
      <c r="A59" s="18" t="inlineStr">
        <is>
          <t>GP HCM ARR</t>
        </is>
      </c>
      <c r="B59" s="19" t="n">
        <v>4748</v>
      </c>
      <c r="C59" s="19" t="n">
        <v>4395</v>
      </c>
      <c r="D59" s="19" t="n">
        <v>4028</v>
      </c>
      <c r="E59" s="19" t="n">
        <v>3676</v>
      </c>
    </row>
    <row r="60">
      <c r="A60" s="18" t="inlineStr">
        <is>
          <t>GP Financials</t>
        </is>
      </c>
      <c r="B60" s="19" t="n">
        <v>2112</v>
      </c>
      <c r="C60" s="19" t="n">
        <v>1871</v>
      </c>
      <c r="D60" s="19" t="n">
        <v>1599</v>
      </c>
      <c r="E60" s="19" t="n">
        <v>1374</v>
      </c>
    </row>
    <row r="61">
      <c r="A61" s="18" t="inlineStr">
        <is>
          <t>GP AI ARR</t>
        </is>
      </c>
      <c r="B61" s="19" t="n">
        <v>163</v>
      </c>
      <c r="C61" s="19" t="n">
        <v>204</v>
      </c>
      <c r="D61" s="19" t="n">
        <v>236</v>
      </c>
      <c r="E61" s="19" t="n">
        <v>227</v>
      </c>
    </row>
    <row r="62">
      <c r="A62" s="18" t="inlineStr">
        <is>
          <t>GP Services</t>
        </is>
      </c>
      <c r="B62" s="19" t="n">
        <v>-65</v>
      </c>
      <c r="C62" s="19" t="n">
        <v>-72</v>
      </c>
      <c r="D62" s="19" t="n">
        <v>-75</v>
      </c>
      <c r="E62" s="19" t="n">
        <v>-74</v>
      </c>
    </row>
    <row r="63">
      <c r="A63" s="2" t="inlineStr">
        <is>
          <t>Total GP</t>
        </is>
      </c>
      <c r="B63" s="21" t="n">
        <v>6958</v>
      </c>
      <c r="C63" s="21" t="n">
        <v>6399</v>
      </c>
      <c r="D63" s="21" t="n">
        <v>5788</v>
      </c>
      <c r="E63" s="21" t="n">
        <v>5203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AI ARR — booked vs recognized (deferred-revenue mechanic)</t>
        </is>
      </c>
    </row>
    <row r="2">
      <c r="A2" t="inlineStr">
        <is>
          <t>AI ARR has a per-year deferred fraction. Deferred dollars sit on the balance sheet and are recognized ratably over the next two years (50%/50%). Total revenue uses RECOGNIZED, not booked.</t>
        </is>
      </c>
    </row>
    <row r="3">
      <c r="A3" t="inlineStr">
        <is>
          <t>FY26 base AI ARR: $400M  (per Q4 FY26 prepared remarks)</t>
        </is>
      </c>
    </row>
    <row r="5">
      <c r="A5" s="3" t="inlineStr">
        <is>
          <t>Good AI</t>
        </is>
      </c>
      <c r="B5" s="17" t="n"/>
      <c r="C5" s="17" t="n"/>
      <c r="D5" s="17" t="n"/>
      <c r="E5" s="17" t="n"/>
      <c r="F5" s="17" t="n"/>
    </row>
    <row r="6">
      <c r="A6" s="4" t="inlineStr">
        <is>
          <t>$M / %</t>
        </is>
      </c>
      <c r="B6" s="4" t="inlineStr">
        <is>
          <t>FY27</t>
        </is>
      </c>
      <c r="C6" s="4" t="inlineStr">
        <is>
          <t>FY28</t>
        </is>
      </c>
      <c r="D6" s="4" t="inlineStr">
        <is>
          <t>FY29</t>
        </is>
      </c>
      <c r="E6" s="4" t="inlineStr">
        <is>
          <t>FY30</t>
        </is>
      </c>
    </row>
    <row r="7">
      <c r="A7" s="18" t="inlineStr">
        <is>
          <t>Booked growth %</t>
        </is>
      </c>
      <c r="B7" s="10" t="n">
        <v>1</v>
      </c>
      <c r="C7" s="10" t="n">
        <v>0.8</v>
      </c>
      <c r="D7" s="10" t="n">
        <v>0.6</v>
      </c>
      <c r="E7" s="10" t="n">
        <v>0.4</v>
      </c>
    </row>
    <row r="8">
      <c r="A8" s="18" t="inlineStr">
        <is>
          <t>Deferred fraction %</t>
        </is>
      </c>
      <c r="B8" s="10" t="n">
        <v>0.3</v>
      </c>
      <c r="C8" s="10" t="n">
        <v>0.25</v>
      </c>
      <c r="D8" s="10" t="n">
        <v>0.2</v>
      </c>
      <c r="E8" s="10" t="n">
        <v>0.15</v>
      </c>
    </row>
    <row r="9">
      <c r="A9" s="18" t="inlineStr">
        <is>
          <t>AI ARR booked ($M)</t>
        </is>
      </c>
      <c r="B9" s="16" t="n">
        <v>800</v>
      </c>
      <c r="C9" s="16" t="n">
        <v>1440</v>
      </c>
      <c r="D9" s="16" t="n">
        <v>2304</v>
      </c>
      <c r="E9" s="16" t="n">
        <v>3226</v>
      </c>
    </row>
    <row r="10">
      <c r="A10" s="2" t="inlineStr">
        <is>
          <t>AI ARR recognized ($M)</t>
        </is>
      </c>
      <c r="B10" s="30" t="n">
        <v>560</v>
      </c>
      <c r="C10" s="30" t="n">
        <v>1200</v>
      </c>
      <c r="D10" s="30" t="n">
        <v>2143</v>
      </c>
      <c r="E10" s="30" t="n">
        <v>3152</v>
      </c>
    </row>
    <row r="11">
      <c r="A11" s="18" t="inlineStr">
        <is>
          <t>Deferred balance ($M)</t>
        </is>
      </c>
      <c r="B11" s="19" t="n">
        <v>240</v>
      </c>
      <c r="C11" s="19" t="n">
        <v>480</v>
      </c>
      <c r="D11" s="19" t="n">
        <v>641</v>
      </c>
      <c r="E11" s="19" t="n">
        <v>714</v>
      </c>
    </row>
    <row r="12">
      <c r="A12" s="18" t="inlineStr">
        <is>
          <t>Booked − Recognized</t>
        </is>
      </c>
      <c r="B12" s="40" t="n">
        <v>240</v>
      </c>
      <c r="C12" s="40" t="n">
        <v>240</v>
      </c>
      <c r="D12" s="40" t="n">
        <v>161</v>
      </c>
      <c r="E12" s="40" t="n">
        <v>74</v>
      </c>
    </row>
    <row r="14">
      <c r="A14" s="3" t="inlineStr">
        <is>
          <t>Runs For Cash</t>
        </is>
      </c>
      <c r="B14" s="17" t="n"/>
      <c r="C14" s="17" t="n"/>
      <c r="D14" s="17" t="n"/>
      <c r="E14" s="17" t="n"/>
      <c r="F14" s="17" t="n"/>
    </row>
    <row r="15">
      <c r="A15" s="4" t="inlineStr">
        <is>
          <t>$M / %</t>
        </is>
      </c>
      <c r="B15" s="4" t="inlineStr">
        <is>
          <t>FY27</t>
        </is>
      </c>
      <c r="C15" s="4" t="inlineStr">
        <is>
          <t>FY28</t>
        </is>
      </c>
      <c r="D15" s="4" t="inlineStr">
        <is>
          <t>FY29</t>
        </is>
      </c>
      <c r="E15" s="4" t="inlineStr">
        <is>
          <t>FY30</t>
        </is>
      </c>
    </row>
    <row r="16">
      <c r="A16" s="18" t="inlineStr">
        <is>
          <t>Booked growth %</t>
        </is>
      </c>
      <c r="B16" s="10" t="n">
        <v>0.3</v>
      </c>
      <c r="C16" s="10" t="n">
        <v>0.15</v>
      </c>
      <c r="D16" s="10" t="n">
        <v>0.05</v>
      </c>
      <c r="E16" s="10" t="n">
        <v>0</v>
      </c>
    </row>
    <row r="17">
      <c r="A17" s="18" t="inlineStr">
        <is>
          <t>Deferred fraction %</t>
        </is>
      </c>
      <c r="B17" s="10" t="n">
        <v>0.2</v>
      </c>
      <c r="C17" s="10" t="n">
        <v>0.15</v>
      </c>
      <c r="D17" s="10" t="n">
        <v>0.1</v>
      </c>
      <c r="E17" s="10" t="n">
        <v>0.1</v>
      </c>
    </row>
    <row r="18">
      <c r="A18" s="18" t="inlineStr">
        <is>
          <t>AI ARR booked ($M)</t>
        </is>
      </c>
      <c r="B18" s="16" t="n">
        <v>520</v>
      </c>
      <c r="C18" s="16" t="n">
        <v>598</v>
      </c>
      <c r="D18" s="16" t="n">
        <v>628</v>
      </c>
      <c r="E18" s="16" t="n">
        <v>628</v>
      </c>
    </row>
    <row r="19">
      <c r="A19" s="2" t="inlineStr">
        <is>
          <t>AI ARR recognized ($M)</t>
        </is>
      </c>
      <c r="B19" s="30" t="n">
        <v>416</v>
      </c>
      <c r="C19" s="30" t="n">
        <v>560</v>
      </c>
      <c r="D19" s="30" t="n">
        <v>662</v>
      </c>
      <c r="E19" s="30" t="n">
        <v>641</v>
      </c>
    </row>
    <row r="20">
      <c r="A20" s="18" t="inlineStr">
        <is>
          <t>Deferred balance ($M)</t>
        </is>
      </c>
      <c r="B20" s="19" t="n">
        <v>104</v>
      </c>
      <c r="C20" s="19" t="n">
        <v>142</v>
      </c>
      <c r="D20" s="19" t="n">
        <v>108</v>
      </c>
      <c r="E20" s="19" t="n">
        <v>94</v>
      </c>
    </row>
    <row r="21">
      <c r="A21" s="18" t="inlineStr">
        <is>
          <t>Booked − Recognized</t>
        </is>
      </c>
      <c r="B21" s="40" t="n">
        <v>104</v>
      </c>
      <c r="C21" s="40" t="n">
        <v>38</v>
      </c>
      <c r="D21" s="40" t="n">
        <v>-34</v>
      </c>
      <c r="E21" s="40" t="n">
        <v>-13</v>
      </c>
    </row>
    <row r="23">
      <c r="A23" s="3" t="inlineStr">
        <is>
          <t>What Goes Wrong</t>
        </is>
      </c>
      <c r="B23" s="17" t="n"/>
      <c r="C23" s="17" t="n"/>
      <c r="D23" s="17" t="n"/>
      <c r="E23" s="17" t="n"/>
      <c r="F23" s="17" t="n"/>
    </row>
    <row r="24">
      <c r="A24" s="4" t="inlineStr">
        <is>
          <t>$M / %</t>
        </is>
      </c>
      <c r="B24" s="4" t="inlineStr">
        <is>
          <t>FY27</t>
        </is>
      </c>
      <c r="C24" s="4" t="inlineStr">
        <is>
          <t>FY28</t>
        </is>
      </c>
      <c r="D24" s="4" t="inlineStr">
        <is>
          <t>FY29</t>
        </is>
      </c>
      <c r="E24" s="4" t="inlineStr">
        <is>
          <t>FY30</t>
        </is>
      </c>
    </row>
    <row r="25">
      <c r="A25" s="18" t="inlineStr">
        <is>
          <t>Booked growth %</t>
        </is>
      </c>
      <c r="B25" s="10" t="n">
        <v>0.2</v>
      </c>
      <c r="C25" s="10" t="n">
        <v>0.1</v>
      </c>
      <c r="D25" s="10" t="n">
        <v>0.05</v>
      </c>
      <c r="E25" s="10" t="n">
        <v>0</v>
      </c>
    </row>
    <row r="26">
      <c r="A26" s="18" t="inlineStr">
        <is>
          <t>Deferred fraction %</t>
        </is>
      </c>
      <c r="B26" s="10" t="n">
        <v>0.15</v>
      </c>
      <c r="C26" s="10" t="n">
        <v>0.1</v>
      </c>
      <c r="D26" s="10" t="n">
        <v>0.05</v>
      </c>
      <c r="E26" s="10" t="n">
        <v>0.05</v>
      </c>
    </row>
    <row r="27">
      <c r="A27" s="18" t="inlineStr">
        <is>
          <t>AI ARR booked ($M)</t>
        </is>
      </c>
      <c r="B27" s="16" t="n">
        <v>480</v>
      </c>
      <c r="C27" s="16" t="n">
        <v>528</v>
      </c>
      <c r="D27" s="16" t="n">
        <v>554</v>
      </c>
      <c r="E27" s="16" t="n">
        <v>554</v>
      </c>
    </row>
    <row r="28">
      <c r="A28" s="2" t="inlineStr">
        <is>
          <t>AI ARR recognized ($M)</t>
        </is>
      </c>
      <c r="B28" s="30" t="n">
        <v>408</v>
      </c>
      <c r="C28" s="30" t="n">
        <v>511</v>
      </c>
      <c r="D28" s="30" t="n">
        <v>589</v>
      </c>
      <c r="E28" s="30" t="n">
        <v>567</v>
      </c>
    </row>
    <row r="29">
      <c r="A29" s="18" t="inlineStr">
        <is>
          <t>Deferred balance ($M)</t>
        </is>
      </c>
      <c r="B29" s="19" t="n">
        <v>72</v>
      </c>
      <c r="C29" s="19" t="n">
        <v>89</v>
      </c>
      <c r="D29" s="19" t="n">
        <v>54</v>
      </c>
      <c r="E29" s="19" t="n">
        <v>42</v>
      </c>
    </row>
    <row r="30">
      <c r="A30" s="18" t="inlineStr">
        <is>
          <t>Booked − Recognized</t>
        </is>
      </c>
      <c r="B30" s="40" t="n">
        <v>72</v>
      </c>
      <c r="C30" s="40" t="n">
        <v>17</v>
      </c>
      <c r="D30" s="40" t="n">
        <v>-35</v>
      </c>
      <c r="E30" s="40" t="n">
        <v>-13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WDAY three-statement model — Good AI</t>
        </is>
      </c>
    </row>
    <row r="2">
      <c r="A2" t="inlineStr">
        <is>
          <t>Full IS / BS / CF rolled forward from FY26 10-K actuals. BS must balance: Total Assets = Total Liabilities + Equity (check row at bottom of BS).</t>
        </is>
      </c>
    </row>
    <row r="4">
      <c r="A4" s="2" t="inlineStr">
        <is>
          <t>$M unless noted</t>
        </is>
      </c>
      <c r="B4" s="4" t="inlineStr">
        <is>
          <t>FY26A</t>
        </is>
      </c>
      <c r="C4" s="25" t="inlineStr">
        <is>
          <t>FY27E</t>
        </is>
      </c>
      <c r="D4" s="25" t="inlineStr">
        <is>
          <t>FY28E</t>
        </is>
      </c>
      <c r="E4" s="25" t="inlineStr">
        <is>
          <t>FY29E</t>
        </is>
      </c>
      <c r="F4" s="25" t="inlineStr">
        <is>
          <t>FY30E</t>
        </is>
      </c>
    </row>
    <row r="5">
      <c r="A5" s="3" t="inlineStr">
        <is>
          <t>INCOME STATEMENT</t>
        </is>
      </c>
      <c r="B5" s="17" t="n"/>
      <c r="C5" s="17" t="n"/>
      <c r="D5" s="17" t="n"/>
      <c r="E5" s="17" t="n"/>
      <c r="F5" s="17" t="n"/>
    </row>
    <row r="6">
      <c r="A6" t="inlineStr">
        <is>
          <t xml:space="preserve">    HCM ARR</t>
        </is>
      </c>
      <c r="B6" s="19" t="n">
        <v>5629</v>
      </c>
      <c r="C6" s="29" t="n">
        <v>5930</v>
      </c>
      <c r="D6" s="29" t="n">
        <v>6374</v>
      </c>
      <c r="E6" s="29" t="n">
        <v>6922</v>
      </c>
      <c r="F6" s="29" t="n">
        <v>7491</v>
      </c>
    </row>
    <row r="7">
      <c r="A7" t="inlineStr">
        <is>
          <t xml:space="preserve">    Financials ARR</t>
        </is>
      </c>
      <c r="B7" s="19" t="n">
        <v>2804</v>
      </c>
      <c r="C7" s="29" t="n">
        <v>3360</v>
      </c>
      <c r="D7" s="29" t="n">
        <v>4050</v>
      </c>
      <c r="E7" s="29" t="n">
        <v>4830</v>
      </c>
      <c r="F7" s="29" t="n">
        <v>5676</v>
      </c>
    </row>
    <row r="8">
      <c r="A8" t="inlineStr">
        <is>
          <t xml:space="preserve">    AI ARR (recognized)</t>
        </is>
      </c>
      <c r="B8" s="19" t="n">
        <v>400</v>
      </c>
      <c r="C8" s="29" t="n">
        <v>560</v>
      </c>
      <c r="D8" s="29" t="n">
        <v>1200</v>
      </c>
      <c r="E8" s="29" t="n">
        <v>2143</v>
      </c>
      <c r="F8" s="29" t="n">
        <v>3152</v>
      </c>
    </row>
    <row r="9">
      <c r="A9" t="inlineStr">
        <is>
          <t xml:space="preserve">    Services</t>
        </is>
      </c>
      <c r="B9" s="19" t="n">
        <v>719</v>
      </c>
      <c r="C9" s="29" t="n">
        <v>712</v>
      </c>
      <c r="D9" s="29" t="n">
        <v>698</v>
      </c>
      <c r="E9" s="29" t="n">
        <v>698</v>
      </c>
      <c r="F9" s="29" t="n">
        <v>712</v>
      </c>
    </row>
    <row r="10">
      <c r="A10" s="2" t="inlineStr">
        <is>
          <t>Total revenue</t>
        </is>
      </c>
      <c r="B10" s="21" t="n">
        <v>9552</v>
      </c>
      <c r="C10" s="21" t="n">
        <v>10561</v>
      </c>
      <c r="D10" s="21" t="n">
        <v>12322</v>
      </c>
      <c r="E10" s="21" t="n">
        <v>14593</v>
      </c>
      <c r="F10" s="21" t="n">
        <v>17031</v>
      </c>
    </row>
    <row r="11">
      <c r="A11" t="inlineStr">
        <is>
          <t>Cost of revenue</t>
        </is>
      </c>
      <c r="B11" s="19" t="n">
        <v>2624</v>
      </c>
      <c r="C11" s="29" t="n">
        <v>2683</v>
      </c>
      <c r="D11" s="29" t="n">
        <v>3083</v>
      </c>
      <c r="E11" s="29" t="n">
        <v>3567</v>
      </c>
      <c r="F11" s="29" t="n">
        <v>3993</v>
      </c>
    </row>
    <row r="12">
      <c r="A12" s="2" t="inlineStr">
        <is>
          <t>Gross profit</t>
        </is>
      </c>
      <c r="B12" s="21" t="n">
        <v>6928</v>
      </c>
      <c r="C12" s="21" t="n">
        <v>7878</v>
      </c>
      <c r="D12" s="21" t="n">
        <v>9239</v>
      </c>
      <c r="E12" s="21" t="n">
        <v>11026</v>
      </c>
      <c r="F12" s="21" t="n">
        <v>13038</v>
      </c>
    </row>
    <row r="13">
      <c r="A13" t="inlineStr">
        <is>
          <t>R&amp;D</t>
        </is>
      </c>
      <c r="B13" s="19" t="n">
        <v>2679</v>
      </c>
      <c r="C13" s="29" t="n">
        <v>2746</v>
      </c>
      <c r="D13" s="29" t="n">
        <v>3080</v>
      </c>
      <c r="E13" s="29" t="n">
        <v>3502</v>
      </c>
      <c r="F13" s="29" t="n">
        <v>3917</v>
      </c>
    </row>
    <row r="14">
      <c r="A14" t="inlineStr">
        <is>
          <t>S&amp;M</t>
        </is>
      </c>
      <c r="B14" s="19" t="n">
        <v>2616</v>
      </c>
      <c r="C14" s="29" t="n">
        <v>2640</v>
      </c>
      <c r="D14" s="29" t="n">
        <v>2834</v>
      </c>
      <c r="E14" s="29" t="n">
        <v>3064</v>
      </c>
      <c r="F14" s="29" t="n">
        <v>3406</v>
      </c>
    </row>
    <row r="15">
      <c r="A15" t="inlineStr">
        <is>
          <t>G&amp;A</t>
        </is>
      </c>
      <c r="B15" s="19" t="n">
        <v>912</v>
      </c>
      <c r="C15" s="29" t="n">
        <v>951</v>
      </c>
      <c r="D15" s="29" t="n">
        <v>1047</v>
      </c>
      <c r="E15" s="29" t="n">
        <v>1167</v>
      </c>
      <c r="F15" s="29" t="n">
        <v>1362</v>
      </c>
    </row>
    <row r="16">
      <c r="A16" s="2" t="inlineStr">
        <is>
          <t>Operating income</t>
        </is>
      </c>
      <c r="B16" s="21" t="n">
        <v>721</v>
      </c>
      <c r="C16" s="21" t="n">
        <v>1231</v>
      </c>
      <c r="D16" s="21" t="n">
        <v>1916</v>
      </c>
      <c r="E16" s="21" t="n">
        <v>2864</v>
      </c>
      <c r="F16" s="21" t="n">
        <v>3853</v>
      </c>
    </row>
    <row r="17">
      <c r="A17" t="inlineStr">
        <is>
          <t xml:space="preserve">  Operating margin %</t>
        </is>
      </c>
      <c r="B17" s="10" t="n">
        <v>0.07548157453936348</v>
      </c>
      <c r="C17" s="27" t="n">
        <v>0.1166</v>
      </c>
      <c r="D17" s="27" t="n">
        <v>0.1555</v>
      </c>
      <c r="E17" s="27" t="n">
        <v>0.1963</v>
      </c>
      <c r="F17" s="27" t="n">
        <v>0.2263</v>
      </c>
    </row>
    <row r="18">
      <c r="A18" t="inlineStr">
        <is>
          <t>Interest income (4% on cash+sec)</t>
        </is>
      </c>
      <c r="B18" s="16" t="n">
        <v>318</v>
      </c>
      <c r="C18" s="28" t="n">
        <v>218</v>
      </c>
      <c r="D18" s="28" t="n">
        <v>321</v>
      </c>
      <c r="E18" s="28" t="n">
        <v>416</v>
      </c>
      <c r="F18" s="28" t="n">
        <v>490</v>
      </c>
    </row>
    <row r="19">
      <c r="A19" t="inlineStr">
        <is>
          <t>Interest expense (3.5% on debt)</t>
        </is>
      </c>
      <c r="B19" s="19" t="n">
        <v>-105</v>
      </c>
      <c r="C19" s="29" t="n">
        <v>-105</v>
      </c>
      <c r="D19" s="29" t="n">
        <v>-105</v>
      </c>
      <c r="E19" s="29" t="n">
        <v>-105</v>
      </c>
      <c r="F19" s="29" t="n">
        <v>-105</v>
      </c>
    </row>
    <row r="20">
      <c r="A20" s="2" t="inlineStr">
        <is>
          <t>Pre-tax income</t>
        </is>
      </c>
      <c r="B20" s="19" t="n">
        <v>1009</v>
      </c>
      <c r="C20" s="29" t="n">
        <v>1344</v>
      </c>
      <c r="D20" s="29" t="n">
        <v>2132</v>
      </c>
      <c r="E20" s="29" t="n">
        <v>3176</v>
      </c>
      <c r="F20" s="29" t="n">
        <v>4238</v>
      </c>
    </row>
    <row r="21">
      <c r="A21" t="inlineStr">
        <is>
          <t>Tax expense (25% effective)</t>
        </is>
      </c>
      <c r="B21" s="19" t="n">
        <v>-316</v>
      </c>
      <c r="C21" s="29" t="n">
        <v>-336</v>
      </c>
      <c r="D21" s="29" t="n">
        <v>-533</v>
      </c>
      <c r="E21" s="29" t="n">
        <v>-794</v>
      </c>
      <c r="F21" s="29" t="n">
        <v>-1060</v>
      </c>
    </row>
    <row r="22">
      <c r="A22" s="2" t="inlineStr">
        <is>
          <t>Net income (GAAP)</t>
        </is>
      </c>
      <c r="B22" s="21" t="n">
        <v>693</v>
      </c>
      <c r="C22" s="21" t="n">
        <v>1008</v>
      </c>
      <c r="D22" s="21" t="n">
        <v>1599</v>
      </c>
      <c r="E22" s="21" t="n">
        <v>2382</v>
      </c>
      <c r="F22" s="21" t="n">
        <v>3179</v>
      </c>
    </row>
    <row r="23">
      <c r="A23" t="inlineStr">
        <is>
          <t>Diluted shares (M)</t>
        </is>
      </c>
      <c r="B23" s="15" t="n">
        <v>268</v>
      </c>
      <c r="C23" s="32" t="n">
        <v>262.6</v>
      </c>
      <c r="D23" s="32" t="n">
        <v>257.4</v>
      </c>
      <c r="E23" s="32" t="n">
        <v>251</v>
      </c>
      <c r="F23" s="32" t="n">
        <v>244.7</v>
      </c>
    </row>
    <row r="24">
      <c r="A24" s="2" t="inlineStr">
        <is>
          <t>Diluted EPS</t>
        </is>
      </c>
      <c r="B24" s="6" t="n">
        <v>2.59</v>
      </c>
      <c r="C24" s="33" t="n">
        <v>3.84</v>
      </c>
      <c r="D24" s="33" t="n">
        <v>6.21</v>
      </c>
      <c r="E24" s="33" t="n">
        <v>9.49</v>
      </c>
      <c r="F24" s="33" t="n">
        <v>12.99</v>
      </c>
    </row>
    <row r="26">
      <c r="A26" s="3" t="inlineStr">
        <is>
          <t>BALANCE SHEET</t>
        </is>
      </c>
      <c r="B26" s="17" t="n"/>
      <c r="C26" s="17" t="n"/>
      <c r="D26" s="17" t="n"/>
      <c r="E26" s="17" t="n"/>
      <c r="F26" s="17" t="n"/>
    </row>
    <row r="27">
      <c r="A27" s="3" t="inlineStr">
        <is>
          <t>ASSETS</t>
        </is>
      </c>
      <c r="B27" s="17" t="n"/>
      <c r="C27" s="17" t="n"/>
      <c r="D27" s="17" t="n"/>
      <c r="E27" s="17" t="n"/>
      <c r="F27" s="17" t="n"/>
    </row>
    <row r="28">
      <c r="A28" t="inlineStr">
        <is>
          <t>Cash &amp; equivalents</t>
        </is>
      </c>
      <c r="B28" s="19" t="n">
        <v>1501</v>
      </c>
      <c r="C28" s="29" t="n">
        <v>3699</v>
      </c>
      <c r="D28" s="29" t="n">
        <v>6063</v>
      </c>
      <c r="E28" s="29" t="n">
        <v>7783</v>
      </c>
      <c r="F28" s="29" t="n">
        <v>9227</v>
      </c>
    </row>
    <row r="29">
      <c r="A29" t="inlineStr">
        <is>
          <t>Marketable securities</t>
        </is>
      </c>
      <c r="B29" s="19" t="n">
        <v>3942</v>
      </c>
      <c r="C29" s="29" t="n">
        <v>3942</v>
      </c>
      <c r="D29" s="29" t="n">
        <v>3942</v>
      </c>
      <c r="E29" s="29" t="n">
        <v>3942</v>
      </c>
      <c r="F29" s="29" t="n">
        <v>3942</v>
      </c>
    </row>
    <row r="30">
      <c r="A30" t="inlineStr">
        <is>
          <t>Accounts receivable</t>
        </is>
      </c>
      <c r="B30" s="19" t="n">
        <v>2332</v>
      </c>
      <c r="C30" s="29" t="n">
        <v>2578</v>
      </c>
      <c r="D30" s="29" t="n">
        <v>3008</v>
      </c>
      <c r="E30" s="29" t="n">
        <v>3563</v>
      </c>
      <c r="F30" s="29" t="n">
        <v>4158</v>
      </c>
    </row>
    <row r="31">
      <c r="A31" t="inlineStr">
        <is>
          <t>Prepaid + other current</t>
        </is>
      </c>
      <c r="B31" s="19" t="n">
        <v>348</v>
      </c>
      <c r="C31" s="29" t="n">
        <v>380</v>
      </c>
      <c r="D31" s="29" t="n">
        <v>444</v>
      </c>
      <c r="E31" s="29" t="n">
        <v>525</v>
      </c>
      <c r="F31" s="29" t="n">
        <v>613</v>
      </c>
    </row>
    <row r="32">
      <c r="A32" t="inlineStr">
        <is>
          <t>Deferred costs (current)</t>
        </is>
      </c>
      <c r="B32" s="19" t="n">
        <v>306</v>
      </c>
      <c r="C32" s="29" t="n">
        <v>338</v>
      </c>
      <c r="D32" s="29" t="n">
        <v>394</v>
      </c>
      <c r="E32" s="29" t="n">
        <v>467</v>
      </c>
      <c r="F32" s="29" t="n">
        <v>545</v>
      </c>
    </row>
    <row r="33">
      <c r="A33" t="inlineStr">
        <is>
          <t>Property, plant &amp; equipment</t>
        </is>
      </c>
      <c r="B33" s="19" t="n">
        <v>1093</v>
      </c>
      <c r="C33" s="29" t="n">
        <v>1067</v>
      </c>
      <c r="D33" s="29" t="n">
        <v>1061</v>
      </c>
      <c r="E33" s="29" t="n">
        <v>1086</v>
      </c>
      <c r="F33" s="29" t="n">
        <v>1145</v>
      </c>
    </row>
    <row r="34">
      <c r="A34" t="inlineStr">
        <is>
          <t>Operating lease ROU</t>
        </is>
      </c>
      <c r="B34" s="19" t="n">
        <v>719</v>
      </c>
      <c r="C34" s="29" t="n">
        <v>719</v>
      </c>
      <c r="D34" s="29" t="n">
        <v>719</v>
      </c>
      <c r="E34" s="29" t="n">
        <v>719</v>
      </c>
      <c r="F34" s="29" t="n">
        <v>719</v>
      </c>
    </row>
    <row r="35">
      <c r="A35" t="inlineStr">
        <is>
          <t>Goodwill</t>
        </is>
      </c>
      <c r="B35" s="19" t="n">
        <v>5229</v>
      </c>
      <c r="C35" s="29" t="n">
        <v>5229</v>
      </c>
      <c r="D35" s="29" t="n">
        <v>5229</v>
      </c>
      <c r="E35" s="29" t="n">
        <v>5229</v>
      </c>
      <c r="F35" s="29" t="n">
        <v>5229</v>
      </c>
    </row>
    <row r="36">
      <c r="A36" t="inlineStr">
        <is>
          <t>Intangibles (net)</t>
        </is>
      </c>
      <c r="B36" s="19" t="n">
        <v>600</v>
      </c>
      <c r="C36" s="29" t="n">
        <v>500</v>
      </c>
      <c r="D36" s="29" t="n">
        <v>400</v>
      </c>
      <c r="E36" s="29" t="n">
        <v>300</v>
      </c>
      <c r="F36" s="29" t="n">
        <v>200</v>
      </c>
    </row>
    <row r="37">
      <c r="A37" t="inlineStr">
        <is>
          <t>Deferred contract costs (NC)</t>
        </is>
      </c>
      <c r="B37" s="19" t="n">
        <v>634</v>
      </c>
      <c r="C37" s="29" t="n">
        <v>697</v>
      </c>
      <c r="D37" s="29" t="n">
        <v>813</v>
      </c>
      <c r="E37" s="29" t="n">
        <v>963</v>
      </c>
      <c r="F37" s="29" t="n">
        <v>1124</v>
      </c>
    </row>
    <row r="38">
      <c r="A38" t="inlineStr">
        <is>
          <t>Deferred tax assets</t>
        </is>
      </c>
      <c r="B38" s="19" t="n">
        <v>829</v>
      </c>
      <c r="C38" s="29" t="n">
        <v>829</v>
      </c>
      <c r="D38" s="29" t="n">
        <v>829</v>
      </c>
      <c r="E38" s="29" t="n">
        <v>829</v>
      </c>
      <c r="F38" s="29" t="n">
        <v>829</v>
      </c>
    </row>
    <row r="39">
      <c r="A39" t="inlineStr">
        <is>
          <t>Other assets (NC)</t>
        </is>
      </c>
      <c r="B39" s="19" t="n">
        <v>541</v>
      </c>
      <c r="C39" s="29" t="n">
        <v>541</v>
      </c>
      <c r="D39" s="29" t="n">
        <v>541</v>
      </c>
      <c r="E39" s="29" t="n">
        <v>541</v>
      </c>
      <c r="F39" s="29" t="n">
        <v>541</v>
      </c>
    </row>
    <row r="40">
      <c r="A40" s="2" t="inlineStr">
        <is>
          <t>Total assets</t>
        </is>
      </c>
      <c r="B40" s="21" t="n">
        <v>18074</v>
      </c>
      <c r="C40" s="21" t="n">
        <v>20520</v>
      </c>
      <c r="D40" s="21" t="n">
        <v>23444</v>
      </c>
      <c r="E40" s="21" t="n">
        <v>25948</v>
      </c>
      <c r="F40" s="21" t="n">
        <v>28273</v>
      </c>
    </row>
    <row r="42">
      <c r="A42" s="3" t="inlineStr">
        <is>
          <t>LIABILITIES</t>
        </is>
      </c>
      <c r="B42" s="17" t="n"/>
      <c r="C42" s="17" t="n"/>
      <c r="D42" s="17" t="n"/>
      <c r="E42" s="17" t="n"/>
      <c r="F42" s="17" t="n"/>
    </row>
    <row r="43">
      <c r="A43" t="inlineStr">
        <is>
          <t>Accounts payable</t>
        </is>
      </c>
      <c r="B43" s="19" t="n">
        <v>142</v>
      </c>
      <c r="C43" s="29" t="n">
        <v>158</v>
      </c>
      <c r="D43" s="29" t="n">
        <v>185</v>
      </c>
      <c r="E43" s="29" t="n">
        <v>219</v>
      </c>
      <c r="F43" s="29" t="n">
        <v>255</v>
      </c>
    </row>
    <row r="44">
      <c r="A44" t="inlineStr">
        <is>
          <t>Accrued compensation</t>
        </is>
      </c>
      <c r="B44" s="19" t="n">
        <v>642</v>
      </c>
      <c r="C44" s="29" t="n">
        <v>718</v>
      </c>
      <c r="D44" s="29" t="n">
        <v>838</v>
      </c>
      <c r="E44" s="29" t="n">
        <v>992</v>
      </c>
      <c r="F44" s="29" t="n">
        <v>1158</v>
      </c>
    </row>
    <row r="45">
      <c r="A45" t="inlineStr">
        <is>
          <t>Accrued other</t>
        </is>
      </c>
      <c r="B45" s="19" t="n">
        <v>454</v>
      </c>
      <c r="C45" s="29" t="n">
        <v>507</v>
      </c>
      <c r="D45" s="29" t="n">
        <v>591</v>
      </c>
      <c r="E45" s="29" t="n">
        <v>700</v>
      </c>
      <c r="F45" s="29" t="n">
        <v>817</v>
      </c>
    </row>
    <row r="46">
      <c r="A46" t="inlineStr">
        <is>
          <t>Deferred revenue (current)</t>
        </is>
      </c>
      <c r="B46" s="19" t="n">
        <v>5010</v>
      </c>
      <c r="C46" s="29" t="n">
        <v>5411</v>
      </c>
      <c r="D46" s="29" t="n">
        <v>6583</v>
      </c>
      <c r="E46" s="29" t="n">
        <v>7936</v>
      </c>
      <c r="F46" s="29" t="n">
        <v>9281</v>
      </c>
    </row>
    <row r="47">
      <c r="A47" t="inlineStr">
        <is>
          <t>Deferred revenue (NC)</t>
        </is>
      </c>
      <c r="B47" s="19" t="n">
        <v>71</v>
      </c>
      <c r="C47" s="29" t="n">
        <v>71</v>
      </c>
      <c r="D47" s="29" t="n">
        <v>71</v>
      </c>
      <c r="E47" s="29" t="n">
        <v>71</v>
      </c>
      <c r="F47" s="29" t="n">
        <v>71</v>
      </c>
    </row>
    <row r="48">
      <c r="A48" t="inlineStr">
        <is>
          <t>Operating lease liab (current)</t>
        </is>
      </c>
      <c r="B48" s="19" t="n">
        <v>130</v>
      </c>
      <c r="C48" s="29" t="n">
        <v>130</v>
      </c>
      <c r="D48" s="29" t="n">
        <v>130</v>
      </c>
      <c r="E48" s="29" t="n">
        <v>130</v>
      </c>
      <c r="F48" s="29" t="n">
        <v>130</v>
      </c>
    </row>
    <row r="49">
      <c r="A49" t="inlineStr">
        <is>
          <t>Operating lease liab (NC)</t>
        </is>
      </c>
      <c r="B49" s="19" t="n">
        <v>704</v>
      </c>
      <c r="C49" s="29" t="n">
        <v>704</v>
      </c>
      <c r="D49" s="29" t="n">
        <v>704</v>
      </c>
      <c r="E49" s="29" t="n">
        <v>704</v>
      </c>
      <c r="F49" s="29" t="n">
        <v>704</v>
      </c>
    </row>
    <row r="50">
      <c r="A50" t="inlineStr">
        <is>
          <t>Senior convertible notes</t>
        </is>
      </c>
      <c r="B50" s="19" t="n">
        <v>2987</v>
      </c>
      <c r="C50" s="29" t="n">
        <v>2987</v>
      </c>
      <c r="D50" s="29" t="n">
        <v>2987</v>
      </c>
      <c r="E50" s="29" t="n">
        <v>2987</v>
      </c>
      <c r="F50" s="29" t="n">
        <v>2987</v>
      </c>
    </row>
    <row r="51">
      <c r="A51" t="inlineStr">
        <is>
          <t>Other long-term liabilities</t>
        </is>
      </c>
      <c r="B51" s="19" t="n">
        <v>129</v>
      </c>
      <c r="C51" s="29" t="n">
        <v>129</v>
      </c>
      <c r="D51" s="29" t="n">
        <v>129</v>
      </c>
      <c r="E51" s="29" t="n">
        <v>129</v>
      </c>
      <c r="F51" s="29" t="n">
        <v>129</v>
      </c>
    </row>
    <row r="52">
      <c r="A52" s="2" t="inlineStr">
        <is>
          <t>Total liabilities</t>
        </is>
      </c>
      <c r="B52" s="21" t="n">
        <v>10269</v>
      </c>
      <c r="C52" s="21" t="n">
        <v>10816</v>
      </c>
      <c r="D52" s="21" t="n">
        <v>12218</v>
      </c>
      <c r="E52" s="21" t="n">
        <v>13869</v>
      </c>
      <c r="F52" s="21" t="n">
        <v>15534</v>
      </c>
    </row>
    <row r="54">
      <c r="A54" s="3" t="inlineStr">
        <is>
          <t>EQUITY</t>
        </is>
      </c>
      <c r="B54" s="17" t="n"/>
      <c r="C54" s="17" t="n"/>
      <c r="D54" s="17" t="n"/>
      <c r="E54" s="17" t="n"/>
      <c r="F54" s="17" t="n"/>
    </row>
    <row r="55">
      <c r="A55" t="inlineStr">
        <is>
          <t>Additional paid-in capital</t>
        </is>
      </c>
      <c r="B55" s="19" t="n">
        <v>12673</v>
      </c>
      <c r="C55" s="29" t="n">
        <v>14257</v>
      </c>
      <c r="D55" s="29" t="n">
        <v>15859</v>
      </c>
      <c r="E55" s="29" t="n">
        <v>17610</v>
      </c>
      <c r="F55" s="29" t="n">
        <v>19483</v>
      </c>
    </row>
    <row r="56">
      <c r="A56" t="inlineStr">
        <is>
          <t>Treasury stock</t>
        </is>
      </c>
      <c r="B56" s="19" t="n">
        <v>-4220</v>
      </c>
      <c r="C56" s="29" t="n">
        <v>-4913</v>
      </c>
      <c r="D56" s="29" t="n">
        <v>-6592</v>
      </c>
      <c r="E56" s="29" t="n">
        <v>-9872</v>
      </c>
      <c r="F56" s="29" t="n">
        <v>-14264</v>
      </c>
    </row>
    <row r="57">
      <c r="A57" t="inlineStr">
        <is>
          <t>Retained earnings / (deficit)</t>
        </is>
      </c>
      <c r="B57" s="19" t="n">
        <v>-512</v>
      </c>
      <c r="C57" s="29" t="n">
        <v>496</v>
      </c>
      <c r="D57" s="29" t="n">
        <v>2095</v>
      </c>
      <c r="E57" s="29" t="n">
        <v>4477</v>
      </c>
      <c r="F57" s="29" t="n">
        <v>7656</v>
      </c>
    </row>
    <row r="58">
      <c r="A58" t="inlineStr">
        <is>
          <t>AOCI</t>
        </is>
      </c>
      <c r="B58" s="19" t="n">
        <v>-136</v>
      </c>
      <c r="C58" s="29" t="n">
        <v>-136</v>
      </c>
      <c r="D58" s="29" t="n">
        <v>-136</v>
      </c>
      <c r="E58" s="29" t="n">
        <v>-136</v>
      </c>
      <c r="F58" s="29" t="n">
        <v>-136</v>
      </c>
    </row>
    <row r="59">
      <c r="A59" s="2" t="inlineStr">
        <is>
          <t>Total stockholders' equity</t>
        </is>
      </c>
      <c r="B59" s="21" t="n">
        <v>7805</v>
      </c>
      <c r="C59" s="21" t="n">
        <v>9704</v>
      </c>
      <c r="D59" s="21" t="n">
        <v>11226</v>
      </c>
      <c r="E59" s="21" t="n">
        <v>12079</v>
      </c>
      <c r="F59" s="21" t="n">
        <v>12739</v>
      </c>
    </row>
    <row r="61">
      <c r="A61" s="2" t="inlineStr">
        <is>
          <t>Balance check: A − L − E (≈ 0)</t>
        </is>
      </c>
      <c r="B61" s="41" t="n">
        <v>0</v>
      </c>
      <c r="C61" s="41" t="n">
        <v>-0</v>
      </c>
      <c r="D61" s="41" t="n">
        <v>0</v>
      </c>
      <c r="E61" s="41" t="n">
        <v>0</v>
      </c>
      <c r="F61" s="41" t="n">
        <v>-0</v>
      </c>
    </row>
    <row r="63">
      <c r="A63" s="3" t="inlineStr">
        <is>
          <t>CASH FLOW STATEMENT</t>
        </is>
      </c>
      <c r="B63" s="17" t="n"/>
      <c r="C63" s="17" t="n"/>
      <c r="D63" s="17" t="n"/>
      <c r="E63" s="17" t="n"/>
      <c r="F63" s="17" t="n"/>
    </row>
    <row r="64">
      <c r="A64" s="3" t="inlineStr">
        <is>
          <t>Operating activities</t>
        </is>
      </c>
      <c r="B64" s="17" t="n"/>
      <c r="C64" s="17" t="n"/>
      <c r="D64" s="17" t="n"/>
      <c r="E64" s="17" t="n"/>
      <c r="F64" s="17" t="n"/>
    </row>
    <row r="65">
      <c r="A65" t="inlineStr">
        <is>
          <t>Net income</t>
        </is>
      </c>
      <c r="B65" s="19" t="n">
        <v>693</v>
      </c>
      <c r="C65" s="29" t="n">
        <v>1008</v>
      </c>
      <c r="D65" s="29" t="n">
        <v>1599</v>
      </c>
      <c r="E65" s="29" t="n">
        <v>2382</v>
      </c>
      <c r="F65" s="29" t="n">
        <v>3179</v>
      </c>
    </row>
    <row r="66">
      <c r="A66" t="inlineStr">
        <is>
          <t>+ Depreciation</t>
        </is>
      </c>
      <c r="B66" s="19" t="n">
        <v>237</v>
      </c>
      <c r="C66" s="29" t="n">
        <v>237</v>
      </c>
      <c r="D66" s="29" t="n">
        <v>252</v>
      </c>
      <c r="E66" s="29" t="n">
        <v>267</v>
      </c>
      <c r="F66" s="29" t="n">
        <v>282</v>
      </c>
    </row>
    <row r="67">
      <c r="A67" t="inlineStr">
        <is>
          <t>+ Amortization of intangibles</t>
        </is>
      </c>
      <c r="B67" s="19" t="n">
        <v>100</v>
      </c>
      <c r="C67" s="29" t="n">
        <v>100</v>
      </c>
      <c r="D67" s="29" t="n">
        <v>100</v>
      </c>
      <c r="E67" s="29" t="n">
        <v>100</v>
      </c>
      <c r="F67" s="29" t="n">
        <v>100</v>
      </c>
    </row>
    <row r="68">
      <c r="A68" t="inlineStr">
        <is>
          <t>+ Stock-based compensation</t>
        </is>
      </c>
      <c r="B68" s="19" t="n">
        <v>1626</v>
      </c>
      <c r="C68" s="29" t="n">
        <v>1584</v>
      </c>
      <c r="D68" s="29" t="n">
        <v>1602</v>
      </c>
      <c r="E68" s="29" t="n">
        <v>1751</v>
      </c>
      <c r="F68" s="29" t="n">
        <v>1873</v>
      </c>
    </row>
    <row r="69">
      <c r="A69" t="inlineStr">
        <is>
          <t>± Change in AR</t>
        </is>
      </c>
      <c r="B69" s="40" t="n"/>
      <c r="C69" s="42" t="n">
        <v>-246</v>
      </c>
      <c r="D69" s="42" t="n">
        <v>-430</v>
      </c>
      <c r="E69" s="42" t="n">
        <v>-554</v>
      </c>
      <c r="F69" s="42" t="n">
        <v>-595</v>
      </c>
    </row>
    <row r="70">
      <c r="A70" t="inlineStr">
        <is>
          <t>± Change in deferred revenue</t>
        </is>
      </c>
      <c r="B70" s="40" t="n"/>
      <c r="C70" s="42" t="n">
        <v>401</v>
      </c>
      <c r="D70" s="42" t="n">
        <v>1171</v>
      </c>
      <c r="E70" s="42" t="n">
        <v>1353</v>
      </c>
      <c r="F70" s="42" t="n">
        <v>1346</v>
      </c>
    </row>
    <row r="71">
      <c r="A71" t="inlineStr">
        <is>
          <t>± Change in accrued comp</t>
        </is>
      </c>
      <c r="B71" s="40" t="n"/>
      <c r="C71" s="42" t="n">
        <v>76</v>
      </c>
      <c r="D71" s="42" t="n">
        <v>120</v>
      </c>
      <c r="E71" s="42" t="n">
        <v>154</v>
      </c>
      <c r="F71" s="42" t="n">
        <v>166</v>
      </c>
    </row>
    <row r="72">
      <c r="A72" t="inlineStr">
        <is>
          <t>± Change in AP + accrued other</t>
        </is>
      </c>
      <c r="B72" s="40" t="n"/>
      <c r="C72" s="42" t="n">
        <v>69</v>
      </c>
      <c r="D72" s="42" t="n">
        <v>111</v>
      </c>
      <c r="E72" s="42" t="n">
        <v>143</v>
      </c>
      <c r="F72" s="42" t="n">
        <v>154</v>
      </c>
    </row>
    <row r="73">
      <c r="A73" t="inlineStr">
        <is>
          <t>± Change in prepaid</t>
        </is>
      </c>
      <c r="B73" s="40" t="n"/>
      <c r="C73" s="42" t="n">
        <v>-32</v>
      </c>
      <c r="D73" s="42" t="n">
        <v>-63</v>
      </c>
      <c r="E73" s="42" t="n">
        <v>-82</v>
      </c>
      <c r="F73" s="42" t="n">
        <v>-88</v>
      </c>
    </row>
    <row r="74">
      <c r="A74" t="inlineStr">
        <is>
          <t>± Change in deferred costs</t>
        </is>
      </c>
      <c r="B74" s="40" t="n"/>
      <c r="C74" s="42" t="n">
        <v>-95</v>
      </c>
      <c r="D74" s="42" t="n">
        <v>-173</v>
      </c>
      <c r="E74" s="42" t="n">
        <v>-223</v>
      </c>
      <c r="F74" s="42" t="n">
        <v>-239</v>
      </c>
    </row>
    <row r="75">
      <c r="A75" s="2">
        <f> Operating cash flow</f>
        <v/>
      </c>
      <c r="B75" s="21" t="n">
        <v>2939</v>
      </c>
      <c r="C75" s="21" t="n">
        <v>3102</v>
      </c>
      <c r="D75" s="21" t="n">
        <v>4289</v>
      </c>
      <c r="E75" s="21" t="n">
        <v>5292</v>
      </c>
      <c r="F75" s="21" t="n">
        <v>6177</v>
      </c>
    </row>
    <row r="77">
      <c r="A77" s="3" t="inlineStr">
        <is>
          <t>Investing activities</t>
        </is>
      </c>
      <c r="B77" s="17" t="n"/>
      <c r="C77" s="17" t="n"/>
      <c r="D77" s="17" t="n"/>
      <c r="E77" s="17" t="n"/>
      <c r="F77" s="17" t="n"/>
    </row>
    <row r="78">
      <c r="A78" t="inlineStr">
        <is>
          <t>− Capex</t>
        </is>
      </c>
      <c r="B78" s="19" t="n">
        <v>-162</v>
      </c>
      <c r="C78" s="29" t="n">
        <v>-211</v>
      </c>
      <c r="D78" s="29" t="n">
        <v>-246</v>
      </c>
      <c r="E78" s="29" t="n">
        <v>-292</v>
      </c>
      <c r="F78" s="29" t="n">
        <v>-341</v>
      </c>
    </row>
    <row r="79">
      <c r="A79" t="inlineStr">
        <is>
          <t>− Acquisitions</t>
        </is>
      </c>
      <c r="B79" s="19" t="n"/>
      <c r="C79" s="29" t="n">
        <v>0</v>
      </c>
      <c r="D79" s="29" t="n">
        <v>0</v>
      </c>
      <c r="E79" s="29" t="n">
        <v>0</v>
      </c>
      <c r="F79" s="29" t="n">
        <v>0</v>
      </c>
    </row>
    <row r="80">
      <c r="A80" t="inlineStr">
        <is>
          <t>± Net marketable securities</t>
        </is>
      </c>
      <c r="B80" s="19" t="n"/>
      <c r="C80" s="29" t="n">
        <v>0</v>
      </c>
      <c r="D80" s="29" t="n">
        <v>0</v>
      </c>
      <c r="E80" s="29" t="n">
        <v>0</v>
      </c>
      <c r="F80" s="29" t="n">
        <v>0</v>
      </c>
    </row>
    <row r="81">
      <c r="A81" s="2">
        <f> Investing cash flow</f>
        <v/>
      </c>
      <c r="B81" s="21" t="n">
        <v>-162</v>
      </c>
      <c r="C81" s="21" t="n">
        <v>-211</v>
      </c>
      <c r="D81" s="21" t="n">
        <v>-246</v>
      </c>
      <c r="E81" s="21" t="n">
        <v>-292</v>
      </c>
      <c r="F81" s="21" t="n">
        <v>-341</v>
      </c>
    </row>
    <row r="83">
      <c r="A83" s="3" t="inlineStr">
        <is>
          <t>Financing activities</t>
        </is>
      </c>
      <c r="B83" s="17" t="n"/>
      <c r="C83" s="17" t="n"/>
      <c r="D83" s="17" t="n"/>
      <c r="E83" s="17" t="n"/>
      <c r="F83" s="17" t="n"/>
    </row>
    <row r="84">
      <c r="A84" t="inlineStr">
        <is>
          <t>− Buybacks</t>
        </is>
      </c>
      <c r="B84" s="19" t="n"/>
      <c r="C84" s="29" t="n">
        <v>-693</v>
      </c>
      <c r="D84" s="29" t="n">
        <v>-1679</v>
      </c>
      <c r="E84" s="29" t="n">
        <v>-3280</v>
      </c>
      <c r="F84" s="29" t="n">
        <v>-4392</v>
      </c>
    </row>
    <row r="85">
      <c r="A85" t="inlineStr">
        <is>
          <t>− Dividends</t>
        </is>
      </c>
      <c r="B85" s="19" t="n"/>
      <c r="C85" s="29" t="n">
        <v>-0</v>
      </c>
      <c r="D85" s="29" t="n">
        <v>-0</v>
      </c>
      <c r="E85" s="29" t="n">
        <v>-0</v>
      </c>
      <c r="F85" s="29" t="n">
        <v>-0</v>
      </c>
    </row>
    <row r="86">
      <c r="A86" t="inlineStr">
        <is>
          <t>± Net debt</t>
        </is>
      </c>
      <c r="B86" s="19" t="n"/>
      <c r="C86" s="29" t="n">
        <v>0</v>
      </c>
      <c r="D86" s="29" t="n">
        <v>0</v>
      </c>
      <c r="E86" s="29" t="n">
        <v>0</v>
      </c>
      <c r="F86" s="29" t="n">
        <v>0</v>
      </c>
    </row>
    <row r="87">
      <c r="A87" s="2">
        <f> Financing cash flow</f>
        <v/>
      </c>
      <c r="B87" s="21" t="n"/>
      <c r="C87" s="21" t="n">
        <v>-693</v>
      </c>
      <c r="D87" s="21" t="n">
        <v>-1679</v>
      </c>
      <c r="E87" s="21" t="n">
        <v>-3280</v>
      </c>
      <c r="F87" s="21" t="n">
        <v>-4392</v>
      </c>
    </row>
    <row r="89">
      <c r="A89" s="2" t="inlineStr">
        <is>
          <t>Net change in cash</t>
        </is>
      </c>
      <c r="B89" s="19" t="n"/>
      <c r="C89" s="29" t="n">
        <v>2198</v>
      </c>
      <c r="D89" s="29" t="n">
        <v>2364</v>
      </c>
      <c r="E89" s="29" t="n">
        <v>1720</v>
      </c>
      <c r="F89" s="29" t="n">
        <v>1444</v>
      </c>
    </row>
    <row r="90">
      <c r="A90" s="2" t="inlineStr">
        <is>
          <t>Beginning cash (FY26 = $1,501M)</t>
        </is>
      </c>
      <c r="B90" s="19" t="n">
        <v>1501</v>
      </c>
      <c r="C90" s="29" t="n">
        <v>1501</v>
      </c>
      <c r="D90" s="29" t="n">
        <v>3699</v>
      </c>
      <c r="E90" s="29" t="n">
        <v>6063</v>
      </c>
      <c r="F90" s="29" t="n">
        <v>7783</v>
      </c>
    </row>
    <row r="91">
      <c r="A91" s="2" t="inlineStr">
        <is>
          <t>Ending cash (= BS cash)</t>
        </is>
      </c>
      <c r="B91" s="21" t="n">
        <v>1501</v>
      </c>
      <c r="C91" s="21" t="n">
        <v>3699</v>
      </c>
      <c r="D91" s="21" t="n">
        <v>6063</v>
      </c>
      <c r="E91" s="21" t="n">
        <v>7783</v>
      </c>
      <c r="F91" s="21" t="n">
        <v>9227</v>
      </c>
    </row>
    <row r="93">
      <c r="A93" s="2" t="inlineStr">
        <is>
          <t>Notes:</t>
        </is>
      </c>
    </row>
    <row r="94">
      <c r="A94" t="inlineStr">
        <is>
          <t>• FY26A balance sheet pulled from SEC XBRL companyfacts (us-gaap) at period end 2026-01-31.</t>
        </is>
      </c>
    </row>
    <row r="95">
      <c r="A95" t="inlineStr">
        <is>
          <t>• Intangibles ($600M) is a 10-K MD&amp;A estimate (not in companyfacts XBRL); small plug ($81M) sits in Other Assets.</t>
        </is>
      </c>
    </row>
    <row r="96">
      <c r="A96" t="inlineStr">
        <is>
          <t>• Tax rate: 25% effective (between FY25 17% and FY26 31% — midcycle assumption).</t>
        </is>
      </c>
    </row>
    <row r="97">
      <c r="A97" t="inlineStr">
        <is>
          <t>• Interest income: 4.0% on prior-year cash + marketable securities. Interest expense: 3.5% on $2,987M Senior Notes (mature 2032, held flat).</t>
        </is>
      </c>
    </row>
    <row r="98">
      <c r="A98" t="inlineStr">
        <is>
          <t>• Goodwill held flat at $5,229M (no new M&amp;A assumed). Sana acquisition already in FY26 base.</t>
        </is>
      </c>
    </row>
    <row r="99">
      <c r="A99" t="inlineStr">
        <is>
          <t>• AR projected at constant 89-day DSO (FY26 actual). Deferred revenue (current) projected at 52.5% of subscription revenue + AI deferred balance from scenario.</t>
        </is>
      </c>
    </row>
    <row r="100">
      <c r="A100" t="inlineStr">
        <is>
          <t>• Marketable securities held flat at $3,942M; cash absorbs all CF flows.</t>
        </is>
      </c>
    </row>
    <row r="101">
      <c r="A101" t="inlineStr">
        <is>
          <t>• Balance check row should be &lt; $5M for each forecast year. Currently ties to $0 across all 12 year-scenarios.</t>
        </is>
      </c>
    </row>
  </sheetData>
  <mergeCells count="8">
    <mergeCell ref="A99:F99"/>
    <mergeCell ref="A98:F98"/>
    <mergeCell ref="A94:F94"/>
    <mergeCell ref="A97:F97"/>
    <mergeCell ref="A100:F100"/>
    <mergeCell ref="A101:F101"/>
    <mergeCell ref="A96:F96"/>
    <mergeCell ref="A95:F9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WDAY three-statement model — Runs For Cash</t>
        </is>
      </c>
    </row>
    <row r="2">
      <c r="A2" t="inlineStr">
        <is>
          <t>Full IS / BS / CF rolled forward from FY26 10-K actuals. BS must balance: Total Assets = Total Liabilities + Equity (check row at bottom of BS).</t>
        </is>
      </c>
    </row>
    <row r="4">
      <c r="A4" s="2" t="inlineStr">
        <is>
          <t>$M unless noted</t>
        </is>
      </c>
      <c r="B4" s="4" t="inlineStr">
        <is>
          <t>FY26A</t>
        </is>
      </c>
      <c r="C4" s="25" t="inlineStr">
        <is>
          <t>FY27E</t>
        </is>
      </c>
      <c r="D4" s="25" t="inlineStr">
        <is>
          <t>FY28E</t>
        </is>
      </c>
      <c r="E4" s="25" t="inlineStr">
        <is>
          <t>FY29E</t>
        </is>
      </c>
      <c r="F4" s="25" t="inlineStr">
        <is>
          <t>FY30E</t>
        </is>
      </c>
    </row>
    <row r="5">
      <c r="A5" s="3" t="inlineStr">
        <is>
          <t>INCOME STATEMENT</t>
        </is>
      </c>
      <c r="B5" s="17" t="n"/>
      <c r="C5" s="17" t="n"/>
      <c r="D5" s="17" t="n"/>
      <c r="E5" s="17" t="n"/>
      <c r="F5" s="17" t="n"/>
    </row>
    <row r="6">
      <c r="A6" t="inlineStr">
        <is>
          <t xml:space="preserve">    HCM ARR</t>
        </is>
      </c>
      <c r="B6" s="19" t="n">
        <v>5629</v>
      </c>
      <c r="C6" s="29" t="n">
        <v>5867</v>
      </c>
      <c r="D6" s="29" t="n">
        <v>5663</v>
      </c>
      <c r="E6" s="29" t="n">
        <v>5370</v>
      </c>
      <c r="F6" s="29" t="n">
        <v>5040</v>
      </c>
    </row>
    <row r="7">
      <c r="A7" t="inlineStr">
        <is>
          <t xml:space="preserve">    Financials ARR</t>
        </is>
      </c>
      <c r="B7" s="19" t="n">
        <v>2804</v>
      </c>
      <c r="C7" s="29" t="n">
        <v>2812</v>
      </c>
      <c r="D7" s="29" t="n">
        <v>2621</v>
      </c>
      <c r="E7" s="29" t="n">
        <v>2236</v>
      </c>
      <c r="F7" s="29" t="n">
        <v>1948</v>
      </c>
    </row>
    <row r="8">
      <c r="A8" t="inlineStr">
        <is>
          <t xml:space="preserve">    AI ARR (recognized)</t>
        </is>
      </c>
      <c r="B8" s="19" t="n">
        <v>400</v>
      </c>
      <c r="C8" s="29" t="n">
        <v>416</v>
      </c>
      <c r="D8" s="29" t="n">
        <v>560</v>
      </c>
      <c r="E8" s="29" t="n">
        <v>662</v>
      </c>
      <c r="F8" s="29" t="n">
        <v>641</v>
      </c>
    </row>
    <row r="9">
      <c r="A9" t="inlineStr">
        <is>
          <t xml:space="preserve">    Services</t>
        </is>
      </c>
      <c r="B9" s="19" t="n">
        <v>719</v>
      </c>
      <c r="C9" s="29" t="n">
        <v>697</v>
      </c>
      <c r="D9" s="29" t="n">
        <v>628</v>
      </c>
      <c r="E9" s="29" t="n">
        <v>552</v>
      </c>
      <c r="F9" s="29" t="n">
        <v>486</v>
      </c>
    </row>
    <row r="10">
      <c r="A10" s="2" t="inlineStr">
        <is>
          <t>Total revenue</t>
        </is>
      </c>
      <c r="B10" s="21" t="n">
        <v>9552</v>
      </c>
      <c r="C10" s="21" t="n">
        <v>9793</v>
      </c>
      <c r="D10" s="21" t="n">
        <v>9472</v>
      </c>
      <c r="E10" s="21" t="n">
        <v>8821</v>
      </c>
      <c r="F10" s="21" t="n">
        <v>8115</v>
      </c>
    </row>
    <row r="11">
      <c r="A11" t="inlineStr">
        <is>
          <t>Cost of revenue</t>
        </is>
      </c>
      <c r="B11" s="19" t="n">
        <v>2624</v>
      </c>
      <c r="C11" s="29" t="n">
        <v>2497</v>
      </c>
      <c r="D11" s="29" t="n">
        <v>2415</v>
      </c>
      <c r="E11" s="29" t="n">
        <v>2250</v>
      </c>
      <c r="F11" s="29" t="n">
        <v>2049</v>
      </c>
    </row>
    <row r="12">
      <c r="A12" s="2" t="inlineStr">
        <is>
          <t>Gross profit</t>
        </is>
      </c>
      <c r="B12" s="21" t="n">
        <v>6928</v>
      </c>
      <c r="C12" s="21" t="n">
        <v>7296</v>
      </c>
      <c r="D12" s="21" t="n">
        <v>7057</v>
      </c>
      <c r="E12" s="21" t="n">
        <v>6571</v>
      </c>
      <c r="F12" s="21" t="n">
        <v>6066</v>
      </c>
    </row>
    <row r="13">
      <c r="A13" t="inlineStr">
        <is>
          <t>R&amp;D</t>
        </is>
      </c>
      <c r="B13" s="19" t="n">
        <v>2679</v>
      </c>
      <c r="C13" s="29" t="n">
        <v>2350</v>
      </c>
      <c r="D13" s="29" t="n">
        <v>1894</v>
      </c>
      <c r="E13" s="29" t="n">
        <v>1411</v>
      </c>
      <c r="F13" s="29" t="n">
        <v>1055</v>
      </c>
    </row>
    <row r="14">
      <c r="A14" t="inlineStr">
        <is>
          <t>S&amp;M</t>
        </is>
      </c>
      <c r="B14" s="19" t="n">
        <v>2616</v>
      </c>
      <c r="C14" s="29" t="n">
        <v>2154</v>
      </c>
      <c r="D14" s="29" t="n">
        <v>1610</v>
      </c>
      <c r="E14" s="29" t="n">
        <v>1147</v>
      </c>
      <c r="F14" s="29" t="n">
        <v>811</v>
      </c>
    </row>
    <row r="15">
      <c r="A15" t="inlineStr">
        <is>
          <t>G&amp;A</t>
        </is>
      </c>
      <c r="B15" s="19" t="n">
        <v>912</v>
      </c>
      <c r="C15" s="29" t="n">
        <v>783</v>
      </c>
      <c r="D15" s="29" t="n">
        <v>663</v>
      </c>
      <c r="E15" s="29" t="n">
        <v>529</v>
      </c>
      <c r="F15" s="29" t="n">
        <v>406</v>
      </c>
    </row>
    <row r="16">
      <c r="A16" s="2" t="inlineStr">
        <is>
          <t>Operating income</t>
        </is>
      </c>
      <c r="B16" s="21" t="n">
        <v>721</v>
      </c>
      <c r="C16" s="21" t="n">
        <v>1721</v>
      </c>
      <c r="D16" s="21" t="n">
        <v>2611</v>
      </c>
      <c r="E16" s="21" t="n">
        <v>3225</v>
      </c>
      <c r="F16" s="21" t="n">
        <v>3556</v>
      </c>
    </row>
    <row r="17">
      <c r="A17" t="inlineStr">
        <is>
          <t xml:space="preserve">  Operating margin %</t>
        </is>
      </c>
      <c r="B17" s="10" t="n">
        <v>0.07548157453936348</v>
      </c>
      <c r="C17" s="27" t="n">
        <v>0.1757</v>
      </c>
      <c r="D17" s="27" t="n">
        <v>0.2757</v>
      </c>
      <c r="E17" s="27" t="n">
        <v>0.3656</v>
      </c>
      <c r="F17" s="27" t="n">
        <v>0.4382</v>
      </c>
    </row>
    <row r="18">
      <c r="A18" t="inlineStr">
        <is>
          <t>Interest income (4% on cash+sec)</t>
        </is>
      </c>
      <c r="B18" s="16" t="n">
        <v>318</v>
      </c>
      <c r="C18" s="28" t="n">
        <v>218</v>
      </c>
      <c r="D18" s="28" t="n">
        <v>272</v>
      </c>
      <c r="E18" s="28" t="n">
        <v>261</v>
      </c>
      <c r="F18" s="28" t="n">
        <v>206</v>
      </c>
    </row>
    <row r="19">
      <c r="A19" t="inlineStr">
        <is>
          <t>Interest expense (3.5% on debt)</t>
        </is>
      </c>
      <c r="B19" s="19" t="n">
        <v>-105</v>
      </c>
      <c r="C19" s="29" t="n">
        <v>-105</v>
      </c>
      <c r="D19" s="29" t="n">
        <v>-105</v>
      </c>
      <c r="E19" s="29" t="n">
        <v>-105</v>
      </c>
      <c r="F19" s="29" t="n">
        <v>-105</v>
      </c>
    </row>
    <row r="20">
      <c r="A20" s="2" t="inlineStr">
        <is>
          <t>Pre-tax income</t>
        </is>
      </c>
      <c r="B20" s="19" t="n">
        <v>1009</v>
      </c>
      <c r="C20" s="29" t="n">
        <v>1834</v>
      </c>
      <c r="D20" s="29" t="n">
        <v>2778</v>
      </c>
      <c r="E20" s="29" t="n">
        <v>3381</v>
      </c>
      <c r="F20" s="29" t="n">
        <v>3657</v>
      </c>
    </row>
    <row r="21">
      <c r="A21" t="inlineStr">
        <is>
          <t>Tax expense (25% effective)</t>
        </is>
      </c>
      <c r="B21" s="19" t="n">
        <v>-316</v>
      </c>
      <c r="C21" s="29" t="n">
        <v>-458</v>
      </c>
      <c r="D21" s="29" t="n">
        <v>-695</v>
      </c>
      <c r="E21" s="29" t="n">
        <v>-845</v>
      </c>
      <c r="F21" s="29" t="n">
        <v>-914</v>
      </c>
    </row>
    <row r="22">
      <c r="A22" s="2" t="inlineStr">
        <is>
          <t>Net income (GAAP)</t>
        </is>
      </c>
      <c r="B22" s="21" t="n">
        <v>693</v>
      </c>
      <c r="C22" s="21" t="n">
        <v>1375</v>
      </c>
      <c r="D22" s="21" t="n">
        <v>2084</v>
      </c>
      <c r="E22" s="21" t="n">
        <v>2536</v>
      </c>
      <c r="F22" s="21" t="n">
        <v>2743</v>
      </c>
    </row>
    <row r="23">
      <c r="A23" t="inlineStr">
        <is>
          <t>Diluted shares (M)</t>
        </is>
      </c>
      <c r="B23" s="15" t="n">
        <v>268</v>
      </c>
      <c r="C23" s="32" t="n">
        <v>257.3</v>
      </c>
      <c r="D23" s="32" t="n">
        <v>239.3</v>
      </c>
      <c r="E23" s="32" t="n">
        <v>217.7</v>
      </c>
      <c r="F23" s="32" t="n">
        <v>196</v>
      </c>
    </row>
    <row r="24">
      <c r="A24" s="2" t="inlineStr">
        <is>
          <t>Diluted EPS</t>
        </is>
      </c>
      <c r="B24" s="6" t="n">
        <v>2.59</v>
      </c>
      <c r="C24" s="33" t="n">
        <v>5.35</v>
      </c>
      <c r="D24" s="33" t="n">
        <v>8.710000000000001</v>
      </c>
      <c r="E24" s="33" t="n">
        <v>11.65</v>
      </c>
      <c r="F24" s="33" t="n">
        <v>14</v>
      </c>
    </row>
    <row r="26">
      <c r="A26" s="3" t="inlineStr">
        <is>
          <t>BALANCE SHEET</t>
        </is>
      </c>
      <c r="B26" s="17" t="n"/>
      <c r="C26" s="17" t="n"/>
      <c r="D26" s="17" t="n"/>
      <c r="E26" s="17" t="n"/>
      <c r="F26" s="17" t="n"/>
    </row>
    <row r="27">
      <c r="A27" s="3" t="inlineStr">
        <is>
          <t>ASSETS</t>
        </is>
      </c>
      <c r="B27" s="17" t="n"/>
      <c r="C27" s="17" t="n"/>
      <c r="D27" s="17" t="n"/>
      <c r="E27" s="17" t="n"/>
      <c r="F27" s="17" t="n"/>
    </row>
    <row r="28">
      <c r="A28" t="inlineStr">
        <is>
          <t>Cash &amp; equivalents</t>
        </is>
      </c>
      <c r="B28" s="19" t="n">
        <v>1501</v>
      </c>
      <c r="C28" s="29" t="n">
        <v>2430</v>
      </c>
      <c r="D28" s="29" t="n">
        <v>2024</v>
      </c>
      <c r="E28" s="29" t="n">
        <v>738</v>
      </c>
      <c r="F28" s="29" t="n">
        <v>-646</v>
      </c>
    </row>
    <row r="29">
      <c r="A29" t="inlineStr">
        <is>
          <t>Marketable securities</t>
        </is>
      </c>
      <c r="B29" s="19" t="n">
        <v>3942</v>
      </c>
      <c r="C29" s="29" t="n">
        <v>3942</v>
      </c>
      <c r="D29" s="29" t="n">
        <v>3942</v>
      </c>
      <c r="E29" s="29" t="n">
        <v>3942</v>
      </c>
      <c r="F29" s="29" t="n">
        <v>3942</v>
      </c>
    </row>
    <row r="30">
      <c r="A30" t="inlineStr">
        <is>
          <t>Accounts receivable</t>
        </is>
      </c>
      <c r="B30" s="19" t="n">
        <v>2332</v>
      </c>
      <c r="C30" s="29" t="n">
        <v>2391</v>
      </c>
      <c r="D30" s="29" t="n">
        <v>2312</v>
      </c>
      <c r="E30" s="29" t="n">
        <v>2154</v>
      </c>
      <c r="F30" s="29" t="n">
        <v>1981</v>
      </c>
    </row>
    <row r="31">
      <c r="A31" t="inlineStr">
        <is>
          <t>Prepaid + other current</t>
        </is>
      </c>
      <c r="B31" s="19" t="n">
        <v>348</v>
      </c>
      <c r="C31" s="29" t="n">
        <v>353</v>
      </c>
      <c r="D31" s="29" t="n">
        <v>341</v>
      </c>
      <c r="E31" s="29" t="n">
        <v>318</v>
      </c>
      <c r="F31" s="29" t="n">
        <v>292</v>
      </c>
    </row>
    <row r="32">
      <c r="A32" t="inlineStr">
        <is>
          <t>Deferred costs (current)</t>
        </is>
      </c>
      <c r="B32" s="19" t="n">
        <v>306</v>
      </c>
      <c r="C32" s="29" t="n">
        <v>313</v>
      </c>
      <c r="D32" s="29" t="n">
        <v>303</v>
      </c>
      <c r="E32" s="29" t="n">
        <v>282</v>
      </c>
      <c r="F32" s="29" t="n">
        <v>260</v>
      </c>
    </row>
    <row r="33">
      <c r="A33" t="inlineStr">
        <is>
          <t>Property, plant &amp; equipment</t>
        </is>
      </c>
      <c r="B33" s="19" t="n">
        <v>1093</v>
      </c>
      <c r="C33" s="29" t="n">
        <v>1052</v>
      </c>
      <c r="D33" s="29" t="n">
        <v>989</v>
      </c>
      <c r="E33" s="29" t="n">
        <v>898</v>
      </c>
      <c r="F33" s="29" t="n">
        <v>778</v>
      </c>
    </row>
    <row r="34">
      <c r="A34" t="inlineStr">
        <is>
          <t>Operating lease ROU</t>
        </is>
      </c>
      <c r="B34" s="19" t="n">
        <v>719</v>
      </c>
      <c r="C34" s="29" t="n">
        <v>719</v>
      </c>
      <c r="D34" s="29" t="n">
        <v>719</v>
      </c>
      <c r="E34" s="29" t="n">
        <v>719</v>
      </c>
      <c r="F34" s="29" t="n">
        <v>719</v>
      </c>
    </row>
    <row r="35">
      <c r="A35" t="inlineStr">
        <is>
          <t>Goodwill</t>
        </is>
      </c>
      <c r="B35" s="19" t="n">
        <v>5229</v>
      </c>
      <c r="C35" s="29" t="n">
        <v>5229</v>
      </c>
      <c r="D35" s="29" t="n">
        <v>5229</v>
      </c>
      <c r="E35" s="29" t="n">
        <v>5229</v>
      </c>
      <c r="F35" s="29" t="n">
        <v>5229</v>
      </c>
    </row>
    <row r="36">
      <c r="A36" t="inlineStr">
        <is>
          <t>Intangibles (net)</t>
        </is>
      </c>
      <c r="B36" s="19" t="n">
        <v>600</v>
      </c>
      <c r="C36" s="29" t="n">
        <v>500</v>
      </c>
      <c r="D36" s="29" t="n">
        <v>400</v>
      </c>
      <c r="E36" s="29" t="n">
        <v>300</v>
      </c>
      <c r="F36" s="29" t="n">
        <v>200</v>
      </c>
    </row>
    <row r="37">
      <c r="A37" t="inlineStr">
        <is>
          <t>Deferred contract costs (NC)</t>
        </is>
      </c>
      <c r="B37" s="19" t="n">
        <v>634</v>
      </c>
      <c r="C37" s="29" t="n">
        <v>646</v>
      </c>
      <c r="D37" s="29" t="n">
        <v>625</v>
      </c>
      <c r="E37" s="29" t="n">
        <v>582</v>
      </c>
      <c r="F37" s="29" t="n">
        <v>536</v>
      </c>
    </row>
    <row r="38">
      <c r="A38" t="inlineStr">
        <is>
          <t>Deferred tax assets</t>
        </is>
      </c>
      <c r="B38" s="19" t="n">
        <v>829</v>
      </c>
      <c r="C38" s="29" t="n">
        <v>829</v>
      </c>
      <c r="D38" s="29" t="n">
        <v>829</v>
      </c>
      <c r="E38" s="29" t="n">
        <v>829</v>
      </c>
      <c r="F38" s="29" t="n">
        <v>829</v>
      </c>
    </row>
    <row r="39">
      <c r="A39" t="inlineStr">
        <is>
          <t>Other assets (NC)</t>
        </is>
      </c>
      <c r="B39" s="19" t="n">
        <v>541</v>
      </c>
      <c r="C39" s="29" t="n">
        <v>541</v>
      </c>
      <c r="D39" s="29" t="n">
        <v>541</v>
      </c>
      <c r="E39" s="29" t="n">
        <v>541</v>
      </c>
      <c r="F39" s="29" t="n">
        <v>541</v>
      </c>
    </row>
    <row r="40">
      <c r="A40" s="2" t="inlineStr">
        <is>
          <t>Total assets</t>
        </is>
      </c>
      <c r="B40" s="21" t="n">
        <v>18074</v>
      </c>
      <c r="C40" s="21" t="n">
        <v>18945</v>
      </c>
      <c r="D40" s="21" t="n">
        <v>18255</v>
      </c>
      <c r="E40" s="21" t="n">
        <v>16531</v>
      </c>
      <c r="F40" s="21" t="n">
        <v>14660</v>
      </c>
    </row>
    <row r="42">
      <c r="A42" s="3" t="inlineStr">
        <is>
          <t>LIABILITIES</t>
        </is>
      </c>
      <c r="B42" s="17" t="n"/>
      <c r="C42" s="17" t="n"/>
      <c r="D42" s="17" t="n"/>
      <c r="E42" s="17" t="n"/>
      <c r="F42" s="17" t="n"/>
    </row>
    <row r="43">
      <c r="A43" t="inlineStr">
        <is>
          <t>Accounts payable</t>
        </is>
      </c>
      <c r="B43" s="19" t="n">
        <v>142</v>
      </c>
      <c r="C43" s="29" t="n">
        <v>147</v>
      </c>
      <c r="D43" s="29" t="n">
        <v>142</v>
      </c>
      <c r="E43" s="29" t="n">
        <v>132</v>
      </c>
      <c r="F43" s="29" t="n">
        <v>122</v>
      </c>
    </row>
    <row r="44">
      <c r="A44" t="inlineStr">
        <is>
          <t>Accrued compensation</t>
        </is>
      </c>
      <c r="B44" s="19" t="n">
        <v>642</v>
      </c>
      <c r="C44" s="29" t="n">
        <v>666</v>
      </c>
      <c r="D44" s="29" t="n">
        <v>644</v>
      </c>
      <c r="E44" s="29" t="n">
        <v>600</v>
      </c>
      <c r="F44" s="29" t="n">
        <v>552</v>
      </c>
    </row>
    <row r="45">
      <c r="A45" t="inlineStr">
        <is>
          <t>Accrued other</t>
        </is>
      </c>
      <c r="B45" s="19" t="n">
        <v>454</v>
      </c>
      <c r="C45" s="29" t="n">
        <v>470</v>
      </c>
      <c r="D45" s="29" t="n">
        <v>455</v>
      </c>
      <c r="E45" s="29" t="n">
        <v>423</v>
      </c>
      <c r="F45" s="29" t="n">
        <v>390</v>
      </c>
    </row>
    <row r="46">
      <c r="A46" t="inlineStr">
        <is>
          <t>Deferred revenue (current)</t>
        </is>
      </c>
      <c r="B46" s="19" t="n">
        <v>5010</v>
      </c>
      <c r="C46" s="29" t="n">
        <v>4879</v>
      </c>
      <c r="D46" s="29" t="n">
        <v>4785</v>
      </c>
      <c r="E46" s="29" t="n">
        <v>4449</v>
      </c>
      <c r="F46" s="29" t="n">
        <v>4099</v>
      </c>
    </row>
    <row r="47">
      <c r="A47" t="inlineStr">
        <is>
          <t>Deferred revenue (NC)</t>
        </is>
      </c>
      <c r="B47" s="19" t="n">
        <v>71</v>
      </c>
      <c r="C47" s="29" t="n">
        <v>71</v>
      </c>
      <c r="D47" s="29" t="n">
        <v>71</v>
      </c>
      <c r="E47" s="29" t="n">
        <v>71</v>
      </c>
      <c r="F47" s="29" t="n">
        <v>71</v>
      </c>
    </row>
    <row r="48">
      <c r="A48" t="inlineStr">
        <is>
          <t>Operating lease liab (current)</t>
        </is>
      </c>
      <c r="B48" s="19" t="n">
        <v>130</v>
      </c>
      <c r="C48" s="29" t="n">
        <v>130</v>
      </c>
      <c r="D48" s="29" t="n">
        <v>130</v>
      </c>
      <c r="E48" s="29" t="n">
        <v>130</v>
      </c>
      <c r="F48" s="29" t="n">
        <v>130</v>
      </c>
    </row>
    <row r="49">
      <c r="A49" t="inlineStr">
        <is>
          <t>Operating lease liab (NC)</t>
        </is>
      </c>
      <c r="B49" s="19" t="n">
        <v>704</v>
      </c>
      <c r="C49" s="29" t="n">
        <v>704</v>
      </c>
      <c r="D49" s="29" t="n">
        <v>704</v>
      </c>
      <c r="E49" s="29" t="n">
        <v>704</v>
      </c>
      <c r="F49" s="29" t="n">
        <v>704</v>
      </c>
    </row>
    <row r="50">
      <c r="A50" t="inlineStr">
        <is>
          <t>Senior convertible notes</t>
        </is>
      </c>
      <c r="B50" s="19" t="n">
        <v>2987</v>
      </c>
      <c r="C50" s="29" t="n">
        <v>2987</v>
      </c>
      <c r="D50" s="29" t="n">
        <v>2987</v>
      </c>
      <c r="E50" s="29" t="n">
        <v>2987</v>
      </c>
      <c r="F50" s="29" t="n">
        <v>2987</v>
      </c>
    </row>
    <row r="51">
      <c r="A51" t="inlineStr">
        <is>
          <t>Other long-term liabilities</t>
        </is>
      </c>
      <c r="B51" s="19" t="n">
        <v>129</v>
      </c>
      <c r="C51" s="29" t="n">
        <v>129</v>
      </c>
      <c r="D51" s="29" t="n">
        <v>129</v>
      </c>
      <c r="E51" s="29" t="n">
        <v>129</v>
      </c>
      <c r="F51" s="29" t="n">
        <v>129</v>
      </c>
    </row>
    <row r="52">
      <c r="A52" s="2" t="inlineStr">
        <is>
          <t>Total liabilities</t>
        </is>
      </c>
      <c r="B52" s="21" t="n">
        <v>10269</v>
      </c>
      <c r="C52" s="21" t="n">
        <v>10183</v>
      </c>
      <c r="D52" s="21" t="n">
        <v>10047</v>
      </c>
      <c r="E52" s="21" t="n">
        <v>9625</v>
      </c>
      <c r="F52" s="21" t="n">
        <v>9183</v>
      </c>
    </row>
    <row r="54">
      <c r="A54" s="3" t="inlineStr">
        <is>
          <t>EQUITY</t>
        </is>
      </c>
      <c r="B54" s="17" t="n"/>
      <c r="C54" s="17" t="n"/>
      <c r="D54" s="17" t="n"/>
      <c r="E54" s="17" t="n"/>
      <c r="F54" s="17" t="n"/>
    </row>
    <row r="55">
      <c r="A55" t="inlineStr">
        <is>
          <t>Additional paid-in capital</t>
        </is>
      </c>
      <c r="B55" s="19" t="n">
        <v>12673</v>
      </c>
      <c r="C55" s="29" t="n">
        <v>13946</v>
      </c>
      <c r="D55" s="29" t="n">
        <v>14798</v>
      </c>
      <c r="E55" s="29" t="n">
        <v>15327</v>
      </c>
      <c r="F55" s="29" t="n">
        <v>15652</v>
      </c>
    </row>
    <row r="56">
      <c r="A56" t="inlineStr">
        <is>
          <t>Treasury stock</t>
        </is>
      </c>
      <c r="B56" s="19" t="n">
        <v>-4220</v>
      </c>
      <c r="C56" s="29" t="n">
        <v>-5607</v>
      </c>
      <c r="D56" s="29" t="n">
        <v>-7970</v>
      </c>
      <c r="E56" s="29" t="n">
        <v>-10837</v>
      </c>
      <c r="F56" s="29" t="n">
        <v>-13776</v>
      </c>
    </row>
    <row r="57">
      <c r="A57" t="inlineStr">
        <is>
          <t>Retained earnings / (deficit)</t>
        </is>
      </c>
      <c r="B57" s="19" t="n">
        <v>-512</v>
      </c>
      <c r="C57" s="29" t="n">
        <v>559</v>
      </c>
      <c r="D57" s="29" t="n">
        <v>1516</v>
      </c>
      <c r="E57" s="29" t="n">
        <v>2552</v>
      </c>
      <c r="F57" s="29" t="n">
        <v>3737</v>
      </c>
    </row>
    <row r="58">
      <c r="A58" t="inlineStr">
        <is>
          <t>AOCI</t>
        </is>
      </c>
      <c r="B58" s="19" t="n">
        <v>-136</v>
      </c>
      <c r="C58" s="29" t="n">
        <v>-136</v>
      </c>
      <c r="D58" s="29" t="n">
        <v>-136</v>
      </c>
      <c r="E58" s="29" t="n">
        <v>-136</v>
      </c>
      <c r="F58" s="29" t="n">
        <v>-136</v>
      </c>
    </row>
    <row r="59">
      <c r="A59" s="2" t="inlineStr">
        <is>
          <t>Total stockholders' equity</t>
        </is>
      </c>
      <c r="B59" s="21" t="n">
        <v>7805</v>
      </c>
      <c r="C59" s="21" t="n">
        <v>8762</v>
      </c>
      <c r="D59" s="21" t="n">
        <v>8208</v>
      </c>
      <c r="E59" s="21" t="n">
        <v>6906</v>
      </c>
      <c r="F59" s="21" t="n">
        <v>5477</v>
      </c>
    </row>
    <row r="61">
      <c r="A61" s="2" t="inlineStr">
        <is>
          <t>Balance check: A − L − E (≈ 0)</t>
        </is>
      </c>
      <c r="B61" s="41" t="n">
        <v>0</v>
      </c>
      <c r="C61" s="41" t="n">
        <v>0</v>
      </c>
      <c r="D61" s="41" t="n">
        <v>0</v>
      </c>
      <c r="E61" s="41" t="n">
        <v>0</v>
      </c>
      <c r="F61" s="41" t="n">
        <v>0</v>
      </c>
    </row>
    <row r="63">
      <c r="A63" s="3" t="inlineStr">
        <is>
          <t>CASH FLOW STATEMENT</t>
        </is>
      </c>
      <c r="B63" s="17" t="n"/>
      <c r="C63" s="17" t="n"/>
      <c r="D63" s="17" t="n"/>
      <c r="E63" s="17" t="n"/>
      <c r="F63" s="17" t="n"/>
    </row>
    <row r="64">
      <c r="A64" s="3" t="inlineStr">
        <is>
          <t>Operating activities</t>
        </is>
      </c>
      <c r="B64" s="17" t="n"/>
      <c r="C64" s="17" t="n"/>
      <c r="D64" s="17" t="n"/>
      <c r="E64" s="17" t="n"/>
      <c r="F64" s="17" t="n"/>
    </row>
    <row r="65">
      <c r="A65" t="inlineStr">
        <is>
          <t>Net income</t>
        </is>
      </c>
      <c r="B65" s="19" t="n">
        <v>693</v>
      </c>
      <c r="C65" s="29" t="n">
        <v>1375</v>
      </c>
      <c r="D65" s="29" t="n">
        <v>2084</v>
      </c>
      <c r="E65" s="29" t="n">
        <v>2536</v>
      </c>
      <c r="F65" s="29" t="n">
        <v>2743</v>
      </c>
    </row>
    <row r="66">
      <c r="A66" t="inlineStr">
        <is>
          <t>+ Depreciation</t>
        </is>
      </c>
      <c r="B66" s="19" t="n">
        <v>237</v>
      </c>
      <c r="C66" s="29" t="n">
        <v>237</v>
      </c>
      <c r="D66" s="29" t="n">
        <v>252</v>
      </c>
      <c r="E66" s="29" t="n">
        <v>267</v>
      </c>
      <c r="F66" s="29" t="n">
        <v>282</v>
      </c>
    </row>
    <row r="67">
      <c r="A67" t="inlineStr">
        <is>
          <t>+ Amortization of intangibles</t>
        </is>
      </c>
      <c r="B67" s="19" t="n">
        <v>100</v>
      </c>
      <c r="C67" s="29" t="n">
        <v>100</v>
      </c>
      <c r="D67" s="29" t="n">
        <v>100</v>
      </c>
      <c r="E67" s="29" t="n">
        <v>100</v>
      </c>
      <c r="F67" s="29" t="n">
        <v>100</v>
      </c>
    </row>
    <row r="68">
      <c r="A68" t="inlineStr">
        <is>
          <t>+ Stock-based compensation</t>
        </is>
      </c>
      <c r="B68" s="19" t="n">
        <v>1626</v>
      </c>
      <c r="C68" s="29" t="n">
        <v>1273</v>
      </c>
      <c r="D68" s="29" t="n">
        <v>852</v>
      </c>
      <c r="E68" s="29" t="n">
        <v>529</v>
      </c>
      <c r="F68" s="29" t="n">
        <v>325</v>
      </c>
    </row>
    <row r="69">
      <c r="A69" t="inlineStr">
        <is>
          <t>± Change in AR</t>
        </is>
      </c>
      <c r="B69" s="40" t="n"/>
      <c r="C69" s="42" t="n">
        <v>-59</v>
      </c>
      <c r="D69" s="42" t="n">
        <v>78</v>
      </c>
      <c r="E69" s="42" t="n">
        <v>159</v>
      </c>
      <c r="F69" s="42" t="n">
        <v>172</v>
      </c>
    </row>
    <row r="70">
      <c r="A70" t="inlineStr">
        <is>
          <t>± Change in deferred revenue</t>
        </is>
      </c>
      <c r="B70" s="40" t="n"/>
      <c r="C70" s="42" t="n">
        <v>-131</v>
      </c>
      <c r="D70" s="42" t="n">
        <v>-94</v>
      </c>
      <c r="E70" s="42" t="n">
        <v>-336</v>
      </c>
      <c r="F70" s="42" t="n">
        <v>-349</v>
      </c>
    </row>
    <row r="71">
      <c r="A71" t="inlineStr">
        <is>
          <t>± Change in accrued comp</t>
        </is>
      </c>
      <c r="B71" s="40" t="n"/>
      <c r="C71" s="42" t="n">
        <v>24</v>
      </c>
      <c r="D71" s="42" t="n">
        <v>-22</v>
      </c>
      <c r="E71" s="42" t="n">
        <v>-44</v>
      </c>
      <c r="F71" s="42" t="n">
        <v>-48</v>
      </c>
    </row>
    <row r="72">
      <c r="A72" t="inlineStr">
        <is>
          <t>± Change in AP + accrued other</t>
        </is>
      </c>
      <c r="B72" s="40" t="n"/>
      <c r="C72" s="42" t="n">
        <v>21</v>
      </c>
      <c r="D72" s="42" t="n">
        <v>-20</v>
      </c>
      <c r="E72" s="42" t="n">
        <v>-41</v>
      </c>
      <c r="F72" s="42" t="n">
        <v>-44</v>
      </c>
    </row>
    <row r="73">
      <c r="A73" t="inlineStr">
        <is>
          <t>± Change in prepaid</t>
        </is>
      </c>
      <c r="B73" s="40" t="n"/>
      <c r="C73" s="42" t="n">
        <v>-5</v>
      </c>
      <c r="D73" s="42" t="n">
        <v>12</v>
      </c>
      <c r="E73" s="42" t="n">
        <v>23</v>
      </c>
      <c r="F73" s="42" t="n">
        <v>25</v>
      </c>
    </row>
    <row r="74">
      <c r="A74" t="inlineStr">
        <is>
          <t>± Change in deferred costs</t>
        </is>
      </c>
      <c r="B74" s="40" t="n"/>
      <c r="C74" s="42" t="n">
        <v>-20</v>
      </c>
      <c r="D74" s="42" t="n">
        <v>31</v>
      </c>
      <c r="E74" s="42" t="n">
        <v>64</v>
      </c>
      <c r="F74" s="42" t="n">
        <v>69</v>
      </c>
    </row>
    <row r="75">
      <c r="A75" s="2">
        <f> Operating cash flow</f>
        <v/>
      </c>
      <c r="B75" s="21" t="n">
        <v>2939</v>
      </c>
      <c r="C75" s="21" t="n">
        <v>2816</v>
      </c>
      <c r="D75" s="21" t="n">
        <v>3273</v>
      </c>
      <c r="E75" s="21" t="n">
        <v>3256</v>
      </c>
      <c r="F75" s="21" t="n">
        <v>3275</v>
      </c>
    </row>
    <row r="77">
      <c r="A77" s="3" t="inlineStr">
        <is>
          <t>Investing activities</t>
        </is>
      </c>
      <c r="B77" s="17" t="n"/>
      <c r="C77" s="17" t="n"/>
      <c r="D77" s="17" t="n"/>
      <c r="E77" s="17" t="n"/>
      <c r="F77" s="17" t="n"/>
    </row>
    <row r="78">
      <c r="A78" t="inlineStr">
        <is>
          <t>− Capex</t>
        </is>
      </c>
      <c r="B78" s="19" t="n">
        <v>-162</v>
      </c>
      <c r="C78" s="29" t="n">
        <v>-196</v>
      </c>
      <c r="D78" s="29" t="n">
        <v>-189</v>
      </c>
      <c r="E78" s="29" t="n">
        <v>-176</v>
      </c>
      <c r="F78" s="29" t="n">
        <v>-162</v>
      </c>
    </row>
    <row r="79">
      <c r="A79" t="inlineStr">
        <is>
          <t>− Acquisitions</t>
        </is>
      </c>
      <c r="B79" s="19" t="n"/>
      <c r="C79" s="29" t="n">
        <v>0</v>
      </c>
      <c r="D79" s="29" t="n">
        <v>0</v>
      </c>
      <c r="E79" s="29" t="n">
        <v>0</v>
      </c>
      <c r="F79" s="29" t="n">
        <v>0</v>
      </c>
    </row>
    <row r="80">
      <c r="A80" t="inlineStr">
        <is>
          <t>± Net marketable securities</t>
        </is>
      </c>
      <c r="B80" s="19" t="n"/>
      <c r="C80" s="29" t="n">
        <v>0</v>
      </c>
      <c r="D80" s="29" t="n">
        <v>0</v>
      </c>
      <c r="E80" s="29" t="n">
        <v>0</v>
      </c>
      <c r="F80" s="29" t="n">
        <v>0</v>
      </c>
    </row>
    <row r="81">
      <c r="A81" s="2">
        <f> Investing cash flow</f>
        <v/>
      </c>
      <c r="B81" s="21" t="n">
        <v>-162</v>
      </c>
      <c r="C81" s="21" t="n">
        <v>-196</v>
      </c>
      <c r="D81" s="21" t="n">
        <v>-189</v>
      </c>
      <c r="E81" s="21" t="n">
        <v>-176</v>
      </c>
      <c r="F81" s="21" t="n">
        <v>-162</v>
      </c>
    </row>
    <row r="83">
      <c r="A83" s="3" t="inlineStr">
        <is>
          <t>Financing activities</t>
        </is>
      </c>
      <c r="B83" s="17" t="n"/>
      <c r="C83" s="17" t="n"/>
      <c r="D83" s="17" t="n"/>
      <c r="E83" s="17" t="n"/>
      <c r="F83" s="17" t="n"/>
    </row>
    <row r="84">
      <c r="A84" t="inlineStr">
        <is>
          <t>− Buybacks</t>
        </is>
      </c>
      <c r="B84" s="19" t="n"/>
      <c r="C84" s="29" t="n">
        <v>-1387</v>
      </c>
      <c r="D84" s="29" t="n">
        <v>-2363</v>
      </c>
      <c r="E84" s="29" t="n">
        <v>-2867</v>
      </c>
      <c r="F84" s="29" t="n">
        <v>-2939</v>
      </c>
    </row>
    <row r="85">
      <c r="A85" t="inlineStr">
        <is>
          <t>− Dividends</t>
        </is>
      </c>
      <c r="B85" s="19" t="n"/>
      <c r="C85" s="29" t="n">
        <v>-304</v>
      </c>
      <c r="D85" s="29" t="n">
        <v>-1127</v>
      </c>
      <c r="E85" s="29" t="n">
        <v>-1500</v>
      </c>
      <c r="F85" s="29" t="n">
        <v>-1558</v>
      </c>
    </row>
    <row r="86">
      <c r="A86" t="inlineStr">
        <is>
          <t>± Net debt</t>
        </is>
      </c>
      <c r="B86" s="19" t="n"/>
      <c r="C86" s="29" t="n">
        <v>0</v>
      </c>
      <c r="D86" s="29" t="n">
        <v>0</v>
      </c>
      <c r="E86" s="29" t="n">
        <v>0</v>
      </c>
      <c r="F86" s="29" t="n">
        <v>0</v>
      </c>
    </row>
    <row r="87">
      <c r="A87" s="2">
        <f> Financing cash flow</f>
        <v/>
      </c>
      <c r="B87" s="21" t="n"/>
      <c r="C87" s="21" t="n">
        <v>-1691</v>
      </c>
      <c r="D87" s="21" t="n">
        <v>-3490</v>
      </c>
      <c r="E87" s="21" t="n">
        <v>-4367</v>
      </c>
      <c r="F87" s="21" t="n">
        <v>-4497</v>
      </c>
    </row>
    <row r="89">
      <c r="A89" s="2" t="inlineStr">
        <is>
          <t>Net change in cash</t>
        </is>
      </c>
      <c r="B89" s="19" t="n"/>
      <c r="C89" s="29" t="n">
        <v>929</v>
      </c>
      <c r="D89" s="29" t="n">
        <v>-406</v>
      </c>
      <c r="E89" s="29" t="n">
        <v>-1287</v>
      </c>
      <c r="F89" s="29" t="n">
        <v>-1384</v>
      </c>
    </row>
    <row r="90">
      <c r="A90" s="2" t="inlineStr">
        <is>
          <t>Beginning cash (FY26 = $1,501M)</t>
        </is>
      </c>
      <c r="B90" s="19" t="n">
        <v>1501</v>
      </c>
      <c r="C90" s="29" t="n">
        <v>1501</v>
      </c>
      <c r="D90" s="29" t="n">
        <v>2430</v>
      </c>
      <c r="E90" s="29" t="n">
        <v>2024</v>
      </c>
      <c r="F90" s="29" t="n">
        <v>738</v>
      </c>
    </row>
    <row r="91">
      <c r="A91" s="2" t="inlineStr">
        <is>
          <t>Ending cash (= BS cash)</t>
        </is>
      </c>
      <c r="B91" s="21" t="n">
        <v>1501</v>
      </c>
      <c r="C91" s="21" t="n">
        <v>2430</v>
      </c>
      <c r="D91" s="21" t="n">
        <v>2024</v>
      </c>
      <c r="E91" s="21" t="n">
        <v>738</v>
      </c>
      <c r="F91" s="21" t="n">
        <v>-646</v>
      </c>
    </row>
    <row r="93">
      <c r="A93" s="2" t="inlineStr">
        <is>
          <t>Notes:</t>
        </is>
      </c>
    </row>
    <row r="94">
      <c r="A94" t="inlineStr">
        <is>
          <t>• FY26A balance sheet pulled from SEC XBRL companyfacts (us-gaap) at period end 2026-01-31.</t>
        </is>
      </c>
    </row>
    <row r="95">
      <c r="A95" t="inlineStr">
        <is>
          <t>• Intangibles ($600M) is a 10-K MD&amp;A estimate (not in companyfacts XBRL); small plug ($81M) sits in Other Assets.</t>
        </is>
      </c>
    </row>
    <row r="96">
      <c r="A96" t="inlineStr">
        <is>
          <t>• Tax rate: 25% effective (between FY25 17% and FY26 31% — midcycle assumption).</t>
        </is>
      </c>
    </row>
    <row r="97">
      <c r="A97" t="inlineStr">
        <is>
          <t>• Interest income: 4.0% on prior-year cash + marketable securities. Interest expense: 3.5% on $2,987M Senior Notes (mature 2032, held flat).</t>
        </is>
      </c>
    </row>
    <row r="98">
      <c r="A98" t="inlineStr">
        <is>
          <t>• Goodwill held flat at $5,229M (no new M&amp;A assumed). Sana acquisition already in FY26 base.</t>
        </is>
      </c>
    </row>
    <row r="99">
      <c r="A99" t="inlineStr">
        <is>
          <t>• AR projected at constant 89-day DSO (FY26 actual). Deferred revenue (current) projected at 52.5% of subscription revenue + AI deferred balance from scenario.</t>
        </is>
      </c>
    </row>
    <row r="100">
      <c r="A100" t="inlineStr">
        <is>
          <t>• Marketable securities held flat at $3,942M; cash absorbs all CF flows.</t>
        </is>
      </c>
    </row>
    <row r="101">
      <c r="A101" t="inlineStr">
        <is>
          <t>• Balance check row should be &lt; $5M for each forecast year. Currently ties to $0 across all 12 year-scenarios.</t>
        </is>
      </c>
    </row>
  </sheetData>
  <mergeCells count="8">
    <mergeCell ref="A99:F99"/>
    <mergeCell ref="A98:F98"/>
    <mergeCell ref="A94:F94"/>
    <mergeCell ref="A97:F97"/>
    <mergeCell ref="A100:F100"/>
    <mergeCell ref="A101:F101"/>
    <mergeCell ref="A96:F96"/>
    <mergeCell ref="A95:F9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WDAY three-statement model — What Goes Wrong</t>
        </is>
      </c>
    </row>
    <row r="2">
      <c r="A2" t="inlineStr">
        <is>
          <t>Full IS / BS / CF rolled forward from FY26 10-K actuals. BS must balance: Total Assets = Total Liabilities + Equity (check row at bottom of BS).</t>
        </is>
      </c>
    </row>
    <row r="4">
      <c r="A4" s="2" t="inlineStr">
        <is>
          <t>$M unless noted</t>
        </is>
      </c>
      <c r="B4" s="4" t="inlineStr">
        <is>
          <t>FY26A</t>
        </is>
      </c>
      <c r="C4" s="25" t="inlineStr">
        <is>
          <t>FY27E</t>
        </is>
      </c>
      <c r="D4" s="25" t="inlineStr">
        <is>
          <t>FY28E</t>
        </is>
      </c>
      <c r="E4" s="25" t="inlineStr">
        <is>
          <t>FY29E</t>
        </is>
      </c>
      <c r="F4" s="25" t="inlineStr">
        <is>
          <t>FY30E</t>
        </is>
      </c>
    </row>
    <row r="5">
      <c r="A5" s="3" t="inlineStr">
        <is>
          <t>INCOME STATEMENT</t>
        </is>
      </c>
      <c r="B5" s="17" t="n"/>
      <c r="C5" s="17" t="n"/>
      <c r="D5" s="17" t="n"/>
      <c r="E5" s="17" t="n"/>
      <c r="F5" s="17" t="n"/>
    </row>
    <row r="6">
      <c r="A6" t="inlineStr">
        <is>
          <t xml:space="preserve">    HCM ARR</t>
        </is>
      </c>
      <c r="B6" s="19" t="n">
        <v>5629</v>
      </c>
      <c r="C6" s="29" t="n">
        <v>5652</v>
      </c>
      <c r="D6" s="29" t="n">
        <v>5233</v>
      </c>
      <c r="E6" s="29" t="n">
        <v>4795</v>
      </c>
      <c r="F6" s="29" t="n">
        <v>4376</v>
      </c>
    </row>
    <row r="7">
      <c r="A7" t="inlineStr">
        <is>
          <t xml:space="preserve">    Financials ARR</t>
        </is>
      </c>
      <c r="B7" s="19" t="n">
        <v>2804</v>
      </c>
      <c r="C7" s="29" t="n">
        <v>2640</v>
      </c>
      <c r="D7" s="29" t="n">
        <v>2310</v>
      </c>
      <c r="E7" s="29" t="n">
        <v>1950</v>
      </c>
      <c r="F7" s="29" t="n">
        <v>1656</v>
      </c>
    </row>
    <row r="8">
      <c r="A8" t="inlineStr">
        <is>
          <t xml:space="preserve">    AI ARR (recognized)</t>
        </is>
      </c>
      <c r="B8" s="19" t="n">
        <v>400</v>
      </c>
      <c r="C8" s="29" t="n">
        <v>408</v>
      </c>
      <c r="D8" s="29" t="n">
        <v>511</v>
      </c>
      <c r="E8" s="29" t="n">
        <v>589</v>
      </c>
      <c r="F8" s="29" t="n">
        <v>567</v>
      </c>
    </row>
    <row r="9">
      <c r="A9" t="inlineStr">
        <is>
          <t xml:space="preserve">    Services</t>
        </is>
      </c>
      <c r="B9" s="19" t="n">
        <v>719</v>
      </c>
      <c r="C9" s="29" t="n">
        <v>647</v>
      </c>
      <c r="D9" s="29" t="n">
        <v>550</v>
      </c>
      <c r="E9" s="29" t="n">
        <v>468</v>
      </c>
      <c r="F9" s="29" t="n">
        <v>411</v>
      </c>
    </row>
    <row r="10">
      <c r="A10" s="2" t="inlineStr">
        <is>
          <t>Total revenue</t>
        </is>
      </c>
      <c r="B10" s="21" t="n">
        <v>9552</v>
      </c>
      <c r="C10" s="21" t="n">
        <v>9347</v>
      </c>
      <c r="D10" s="21" t="n">
        <v>8604</v>
      </c>
      <c r="E10" s="21" t="n">
        <v>7802</v>
      </c>
      <c r="F10" s="21" t="n">
        <v>7010</v>
      </c>
    </row>
    <row r="11">
      <c r="A11" t="inlineStr">
        <is>
          <t>Cost of revenue</t>
        </is>
      </c>
      <c r="B11" s="19" t="n">
        <v>2624</v>
      </c>
      <c r="C11" s="29" t="n">
        <v>2389</v>
      </c>
      <c r="D11" s="29" t="n">
        <v>2205</v>
      </c>
      <c r="E11" s="29" t="n">
        <v>2014</v>
      </c>
      <c r="F11" s="29" t="n">
        <v>1807</v>
      </c>
    </row>
    <row r="12">
      <c r="A12" s="2" t="inlineStr">
        <is>
          <t>Gross profit</t>
        </is>
      </c>
      <c r="B12" s="21" t="n">
        <v>6928</v>
      </c>
      <c r="C12" s="21" t="n">
        <v>6958</v>
      </c>
      <c r="D12" s="21" t="n">
        <v>6399</v>
      </c>
      <c r="E12" s="21" t="n">
        <v>5788</v>
      </c>
      <c r="F12" s="21" t="n">
        <v>5203</v>
      </c>
    </row>
    <row r="13">
      <c r="A13" t="inlineStr">
        <is>
          <t>R&amp;D</t>
        </is>
      </c>
      <c r="B13" s="19" t="n">
        <v>2679</v>
      </c>
      <c r="C13" s="29" t="n">
        <v>2430</v>
      </c>
      <c r="D13" s="29" t="n">
        <v>1979</v>
      </c>
      <c r="E13" s="29" t="n">
        <v>1560</v>
      </c>
      <c r="F13" s="29" t="n">
        <v>1262</v>
      </c>
    </row>
    <row r="14">
      <c r="A14" t="inlineStr">
        <is>
          <t>S&amp;M</t>
        </is>
      </c>
      <c r="B14" s="19" t="n">
        <v>2616</v>
      </c>
      <c r="C14" s="29" t="n">
        <v>2243</v>
      </c>
      <c r="D14" s="29" t="n">
        <v>1807</v>
      </c>
      <c r="E14" s="29" t="n">
        <v>1404</v>
      </c>
      <c r="F14" s="29" t="n">
        <v>1122</v>
      </c>
    </row>
    <row r="15">
      <c r="A15" t="inlineStr">
        <is>
          <t>G&amp;A</t>
        </is>
      </c>
      <c r="B15" s="19" t="n">
        <v>912</v>
      </c>
      <c r="C15" s="29" t="n">
        <v>841</v>
      </c>
      <c r="D15" s="29" t="n">
        <v>688</v>
      </c>
      <c r="E15" s="29" t="n">
        <v>585</v>
      </c>
      <c r="F15" s="29" t="n">
        <v>491</v>
      </c>
    </row>
    <row r="16">
      <c r="A16" s="2" t="inlineStr">
        <is>
          <t>Operating income</t>
        </is>
      </c>
      <c r="B16" s="21" t="n">
        <v>721</v>
      </c>
      <c r="C16" s="21" t="n">
        <v>1169</v>
      </c>
      <c r="D16" s="21" t="n">
        <v>1673</v>
      </c>
      <c r="E16" s="21" t="n">
        <v>2009</v>
      </c>
      <c r="F16" s="21" t="n">
        <v>2123</v>
      </c>
    </row>
    <row r="17">
      <c r="A17" t="inlineStr">
        <is>
          <t xml:space="preserve">  Operating margin %</t>
        </is>
      </c>
      <c r="B17" s="10" t="n">
        <v>0.07548157453936348</v>
      </c>
      <c r="C17" s="27" t="n">
        <v>0.1251</v>
      </c>
      <c r="D17" s="27" t="n">
        <v>0.1945</v>
      </c>
      <c r="E17" s="27" t="n">
        <v>0.2575</v>
      </c>
      <c r="F17" s="27" t="n">
        <v>0.3029</v>
      </c>
    </row>
    <row r="18">
      <c r="A18" t="inlineStr">
        <is>
          <t>Interest income (4% on cash+sec)</t>
        </is>
      </c>
      <c r="B18" s="16" t="n">
        <v>318</v>
      </c>
      <c r="C18" s="28" t="n">
        <v>218</v>
      </c>
      <c r="D18" s="28" t="n">
        <v>288</v>
      </c>
      <c r="E18" s="28" t="n">
        <v>327</v>
      </c>
      <c r="F18" s="28" t="n">
        <v>346</v>
      </c>
    </row>
    <row r="19">
      <c r="A19" t="inlineStr">
        <is>
          <t>Interest expense (3.5% on debt)</t>
        </is>
      </c>
      <c r="B19" s="19" t="n">
        <v>-105</v>
      </c>
      <c r="C19" s="29" t="n">
        <v>-105</v>
      </c>
      <c r="D19" s="29" t="n">
        <v>-105</v>
      </c>
      <c r="E19" s="29" t="n">
        <v>-105</v>
      </c>
      <c r="F19" s="29" t="n">
        <v>-105</v>
      </c>
    </row>
    <row r="20">
      <c r="A20" s="2" t="inlineStr">
        <is>
          <t>Pre-tax income</t>
        </is>
      </c>
      <c r="B20" s="19" t="n">
        <v>1009</v>
      </c>
      <c r="C20" s="29" t="n">
        <v>1283</v>
      </c>
      <c r="D20" s="29" t="n">
        <v>1856</v>
      </c>
      <c r="E20" s="29" t="n">
        <v>2232</v>
      </c>
      <c r="F20" s="29" t="n">
        <v>2365</v>
      </c>
    </row>
    <row r="21">
      <c r="A21" t="inlineStr">
        <is>
          <t>Tax expense (25% effective)</t>
        </is>
      </c>
      <c r="B21" s="19" t="n">
        <v>-316</v>
      </c>
      <c r="C21" s="29" t="n">
        <v>-321</v>
      </c>
      <c r="D21" s="29" t="n">
        <v>-464</v>
      </c>
      <c r="E21" s="29" t="n">
        <v>-558</v>
      </c>
      <c r="F21" s="29" t="n">
        <v>-591</v>
      </c>
    </row>
    <row r="22">
      <c r="A22" s="2" t="inlineStr">
        <is>
          <t>Net income (GAAP)</t>
        </is>
      </c>
      <c r="B22" s="21" t="n">
        <v>693</v>
      </c>
      <c r="C22" s="21" t="n">
        <v>962</v>
      </c>
      <c r="D22" s="21" t="n">
        <v>1392</v>
      </c>
      <c r="E22" s="21" t="n">
        <v>1674</v>
      </c>
      <c r="F22" s="21" t="n">
        <v>1774</v>
      </c>
    </row>
    <row r="23">
      <c r="A23" t="inlineStr">
        <is>
          <t>Diluted shares (M)</t>
        </is>
      </c>
      <c r="B23" s="15" t="n">
        <v>268</v>
      </c>
      <c r="C23" s="32" t="n">
        <v>261.3</v>
      </c>
      <c r="D23" s="32" t="n">
        <v>252.2</v>
      </c>
      <c r="E23" s="32" t="n">
        <v>242.1</v>
      </c>
      <c r="F23" s="32" t="n">
        <v>232.4</v>
      </c>
    </row>
    <row r="24">
      <c r="A24" s="2" t="inlineStr">
        <is>
          <t>Diluted EPS</t>
        </is>
      </c>
      <c r="B24" s="6" t="n">
        <v>2.59</v>
      </c>
      <c r="C24" s="33" t="n">
        <v>3.68</v>
      </c>
      <c r="D24" s="33" t="n">
        <v>5.52</v>
      </c>
      <c r="E24" s="33" t="n">
        <v>6.91</v>
      </c>
      <c r="F24" s="33" t="n">
        <v>7.63</v>
      </c>
    </row>
    <row r="26">
      <c r="A26" s="3" t="inlineStr">
        <is>
          <t>BALANCE SHEET</t>
        </is>
      </c>
      <c r="B26" s="17" t="n"/>
      <c r="C26" s="17" t="n"/>
      <c r="D26" s="17" t="n"/>
      <c r="E26" s="17" t="n"/>
      <c r="F26" s="17" t="n"/>
    </row>
    <row r="27">
      <c r="A27" s="3" t="inlineStr">
        <is>
          <t>ASSETS</t>
        </is>
      </c>
      <c r="B27" s="17" t="n"/>
      <c r="C27" s="17" t="n"/>
      <c r="D27" s="17" t="n"/>
      <c r="E27" s="17" t="n"/>
      <c r="F27" s="17" t="n"/>
    </row>
    <row r="28">
      <c r="A28" t="inlineStr">
        <is>
          <t>Cash &amp; equivalents</t>
        </is>
      </c>
      <c r="B28" s="19" t="n">
        <v>1501</v>
      </c>
      <c r="C28" s="29" t="n">
        <v>2850</v>
      </c>
      <c r="D28" s="29" t="n">
        <v>3977</v>
      </c>
      <c r="E28" s="29" t="n">
        <v>4958</v>
      </c>
      <c r="F28" s="29" t="n">
        <v>6097</v>
      </c>
    </row>
    <row r="29">
      <c r="A29" t="inlineStr">
        <is>
          <t>Marketable securities</t>
        </is>
      </c>
      <c r="B29" s="19" t="n">
        <v>3942</v>
      </c>
      <c r="C29" s="29" t="n">
        <v>3942</v>
      </c>
      <c r="D29" s="29" t="n">
        <v>3942</v>
      </c>
      <c r="E29" s="29" t="n">
        <v>3942</v>
      </c>
      <c r="F29" s="29" t="n">
        <v>3942</v>
      </c>
    </row>
    <row r="30">
      <c r="A30" t="inlineStr">
        <is>
          <t>Accounts receivable</t>
        </is>
      </c>
      <c r="B30" s="19" t="n">
        <v>2332</v>
      </c>
      <c r="C30" s="29" t="n">
        <v>2282</v>
      </c>
      <c r="D30" s="29" t="n">
        <v>2101</v>
      </c>
      <c r="E30" s="29" t="n">
        <v>1905</v>
      </c>
      <c r="F30" s="29" t="n">
        <v>1711</v>
      </c>
    </row>
    <row r="31">
      <c r="A31" t="inlineStr">
        <is>
          <t>Prepaid + other current</t>
        </is>
      </c>
      <c r="B31" s="19" t="n">
        <v>348</v>
      </c>
      <c r="C31" s="29" t="n">
        <v>336</v>
      </c>
      <c r="D31" s="29" t="n">
        <v>310</v>
      </c>
      <c r="E31" s="29" t="n">
        <v>281</v>
      </c>
      <c r="F31" s="29" t="n">
        <v>252</v>
      </c>
    </row>
    <row r="32">
      <c r="A32" t="inlineStr">
        <is>
          <t>Deferred costs (current)</t>
        </is>
      </c>
      <c r="B32" s="19" t="n">
        <v>306</v>
      </c>
      <c r="C32" s="29" t="n">
        <v>299</v>
      </c>
      <c r="D32" s="29" t="n">
        <v>275</v>
      </c>
      <c r="E32" s="29" t="n">
        <v>250</v>
      </c>
      <c r="F32" s="29" t="n">
        <v>224</v>
      </c>
    </row>
    <row r="33">
      <c r="A33" t="inlineStr">
        <is>
          <t>Property, plant &amp; equipment</t>
        </is>
      </c>
      <c r="B33" s="19" t="n">
        <v>1093</v>
      </c>
      <c r="C33" s="29" t="n">
        <v>1043</v>
      </c>
      <c r="D33" s="29" t="n">
        <v>963</v>
      </c>
      <c r="E33" s="29" t="n">
        <v>852</v>
      </c>
      <c r="F33" s="29" t="n">
        <v>710</v>
      </c>
    </row>
    <row r="34">
      <c r="A34" t="inlineStr">
        <is>
          <t>Operating lease ROU</t>
        </is>
      </c>
      <c r="B34" s="19" t="n">
        <v>719</v>
      </c>
      <c r="C34" s="29" t="n">
        <v>719</v>
      </c>
      <c r="D34" s="29" t="n">
        <v>719</v>
      </c>
      <c r="E34" s="29" t="n">
        <v>719</v>
      </c>
      <c r="F34" s="29" t="n">
        <v>719</v>
      </c>
    </row>
    <row r="35">
      <c r="A35" t="inlineStr">
        <is>
          <t>Goodwill</t>
        </is>
      </c>
      <c r="B35" s="19" t="n">
        <v>5229</v>
      </c>
      <c r="C35" s="29" t="n">
        <v>5229</v>
      </c>
      <c r="D35" s="29" t="n">
        <v>5229</v>
      </c>
      <c r="E35" s="29" t="n">
        <v>5229</v>
      </c>
      <c r="F35" s="29" t="n">
        <v>5229</v>
      </c>
    </row>
    <row r="36">
      <c r="A36" t="inlineStr">
        <is>
          <t>Intangibles (net)</t>
        </is>
      </c>
      <c r="B36" s="19" t="n">
        <v>600</v>
      </c>
      <c r="C36" s="29" t="n">
        <v>500</v>
      </c>
      <c r="D36" s="29" t="n">
        <v>400</v>
      </c>
      <c r="E36" s="29" t="n">
        <v>300</v>
      </c>
      <c r="F36" s="29" t="n">
        <v>200</v>
      </c>
    </row>
    <row r="37">
      <c r="A37" t="inlineStr">
        <is>
          <t>Deferred contract costs (NC)</t>
        </is>
      </c>
      <c r="B37" s="19" t="n">
        <v>634</v>
      </c>
      <c r="C37" s="29" t="n">
        <v>617</v>
      </c>
      <c r="D37" s="29" t="n">
        <v>568</v>
      </c>
      <c r="E37" s="29" t="n">
        <v>515</v>
      </c>
      <c r="F37" s="29" t="n">
        <v>463</v>
      </c>
    </row>
    <row r="38">
      <c r="A38" t="inlineStr">
        <is>
          <t>Deferred tax assets</t>
        </is>
      </c>
      <c r="B38" s="19" t="n">
        <v>829</v>
      </c>
      <c r="C38" s="29" t="n">
        <v>829</v>
      </c>
      <c r="D38" s="29" t="n">
        <v>829</v>
      </c>
      <c r="E38" s="29" t="n">
        <v>829</v>
      </c>
      <c r="F38" s="29" t="n">
        <v>829</v>
      </c>
    </row>
    <row r="39">
      <c r="A39" t="inlineStr">
        <is>
          <t>Other assets (NC)</t>
        </is>
      </c>
      <c r="B39" s="19" t="n">
        <v>541</v>
      </c>
      <c r="C39" s="29" t="n">
        <v>541</v>
      </c>
      <c r="D39" s="29" t="n">
        <v>541</v>
      </c>
      <c r="E39" s="29" t="n">
        <v>541</v>
      </c>
      <c r="F39" s="29" t="n">
        <v>541</v>
      </c>
    </row>
    <row r="40">
      <c r="A40" s="2" t="inlineStr">
        <is>
          <t>Total assets</t>
        </is>
      </c>
      <c r="B40" s="21" t="n">
        <v>18074</v>
      </c>
      <c r="C40" s="21" t="n">
        <v>19187</v>
      </c>
      <c r="D40" s="21" t="n">
        <v>19853</v>
      </c>
      <c r="E40" s="21" t="n">
        <v>20320</v>
      </c>
      <c r="F40" s="21" t="n">
        <v>20918</v>
      </c>
    </row>
    <row r="42">
      <c r="A42" s="3" t="inlineStr">
        <is>
          <t>LIABILITIES</t>
        </is>
      </c>
      <c r="B42" s="17" t="n"/>
      <c r="C42" s="17" t="n"/>
      <c r="D42" s="17" t="n"/>
      <c r="E42" s="17" t="n"/>
      <c r="F42" s="17" t="n"/>
    </row>
    <row r="43">
      <c r="A43" t="inlineStr">
        <is>
          <t>Accounts payable</t>
        </is>
      </c>
      <c r="B43" s="19" t="n">
        <v>142</v>
      </c>
      <c r="C43" s="29" t="n">
        <v>140</v>
      </c>
      <c r="D43" s="29" t="n">
        <v>129</v>
      </c>
      <c r="E43" s="29" t="n">
        <v>117</v>
      </c>
      <c r="F43" s="29" t="n">
        <v>105</v>
      </c>
    </row>
    <row r="44">
      <c r="A44" t="inlineStr">
        <is>
          <t>Accrued compensation</t>
        </is>
      </c>
      <c r="B44" s="19" t="n">
        <v>642</v>
      </c>
      <c r="C44" s="29" t="n">
        <v>636</v>
      </c>
      <c r="D44" s="29" t="n">
        <v>585</v>
      </c>
      <c r="E44" s="29" t="n">
        <v>531</v>
      </c>
      <c r="F44" s="29" t="n">
        <v>477</v>
      </c>
    </row>
    <row r="45">
      <c r="A45" t="inlineStr">
        <is>
          <t>Accrued other</t>
        </is>
      </c>
      <c r="B45" s="19" t="n">
        <v>454</v>
      </c>
      <c r="C45" s="29" t="n">
        <v>449</v>
      </c>
      <c r="D45" s="29" t="n">
        <v>413</v>
      </c>
      <c r="E45" s="29" t="n">
        <v>374</v>
      </c>
      <c r="F45" s="29" t="n">
        <v>336</v>
      </c>
    </row>
    <row r="46">
      <c r="A46" t="inlineStr">
        <is>
          <t>Deferred revenue (current)</t>
        </is>
      </c>
      <c r="B46" s="19" t="n">
        <v>5010</v>
      </c>
      <c r="C46" s="29" t="n">
        <v>4640</v>
      </c>
      <c r="D46" s="29" t="n">
        <v>4317</v>
      </c>
      <c r="E46" s="29" t="n">
        <v>3904</v>
      </c>
      <c r="F46" s="29" t="n">
        <v>3506</v>
      </c>
    </row>
    <row r="47">
      <c r="A47" t="inlineStr">
        <is>
          <t>Deferred revenue (NC)</t>
        </is>
      </c>
      <c r="B47" s="19" t="n">
        <v>71</v>
      </c>
      <c r="C47" s="29" t="n">
        <v>71</v>
      </c>
      <c r="D47" s="29" t="n">
        <v>71</v>
      </c>
      <c r="E47" s="29" t="n">
        <v>71</v>
      </c>
      <c r="F47" s="29" t="n">
        <v>71</v>
      </c>
    </row>
    <row r="48">
      <c r="A48" t="inlineStr">
        <is>
          <t>Operating lease liab (current)</t>
        </is>
      </c>
      <c r="B48" s="19" t="n">
        <v>130</v>
      </c>
      <c r="C48" s="29" t="n">
        <v>130</v>
      </c>
      <c r="D48" s="29" t="n">
        <v>130</v>
      </c>
      <c r="E48" s="29" t="n">
        <v>130</v>
      </c>
      <c r="F48" s="29" t="n">
        <v>130</v>
      </c>
    </row>
    <row r="49">
      <c r="A49" t="inlineStr">
        <is>
          <t>Operating lease liab (NC)</t>
        </is>
      </c>
      <c r="B49" s="19" t="n">
        <v>704</v>
      </c>
      <c r="C49" s="29" t="n">
        <v>704</v>
      </c>
      <c r="D49" s="29" t="n">
        <v>704</v>
      </c>
      <c r="E49" s="29" t="n">
        <v>704</v>
      </c>
      <c r="F49" s="29" t="n">
        <v>704</v>
      </c>
    </row>
    <row r="50">
      <c r="A50" t="inlineStr">
        <is>
          <t>Senior convertible notes</t>
        </is>
      </c>
      <c r="B50" s="19" t="n">
        <v>2987</v>
      </c>
      <c r="C50" s="29" t="n">
        <v>2987</v>
      </c>
      <c r="D50" s="29" t="n">
        <v>2987</v>
      </c>
      <c r="E50" s="29" t="n">
        <v>2987</v>
      </c>
      <c r="F50" s="29" t="n">
        <v>2987</v>
      </c>
    </row>
    <row r="51">
      <c r="A51" t="inlineStr">
        <is>
          <t>Other long-term liabilities</t>
        </is>
      </c>
      <c r="B51" s="19" t="n">
        <v>129</v>
      </c>
      <c r="C51" s="29" t="n">
        <v>129</v>
      </c>
      <c r="D51" s="29" t="n">
        <v>129</v>
      </c>
      <c r="E51" s="29" t="n">
        <v>129</v>
      </c>
      <c r="F51" s="29" t="n">
        <v>129</v>
      </c>
    </row>
    <row r="52">
      <c r="A52" s="2" t="inlineStr">
        <is>
          <t>Total liabilities</t>
        </is>
      </c>
      <c r="B52" s="21" t="n">
        <v>10269</v>
      </c>
      <c r="C52" s="21" t="n">
        <v>9885</v>
      </c>
      <c r="D52" s="21" t="n">
        <v>9465</v>
      </c>
      <c r="E52" s="21" t="n">
        <v>8947</v>
      </c>
      <c r="F52" s="21" t="n">
        <v>8446</v>
      </c>
    </row>
    <row r="54">
      <c r="A54" s="3" t="inlineStr">
        <is>
          <t>EQUITY</t>
        </is>
      </c>
      <c r="B54" s="17" t="n"/>
      <c r="C54" s="17" t="n"/>
      <c r="D54" s="17" t="n"/>
      <c r="E54" s="17" t="n"/>
      <c r="F54" s="17" t="n"/>
    </row>
    <row r="55">
      <c r="A55" t="inlineStr">
        <is>
          <t>Additional paid-in capital</t>
        </is>
      </c>
      <c r="B55" s="19" t="n">
        <v>12673</v>
      </c>
      <c r="C55" s="29" t="n">
        <v>14075</v>
      </c>
      <c r="D55" s="29" t="n">
        <v>15193</v>
      </c>
      <c r="E55" s="29" t="n">
        <v>16051</v>
      </c>
      <c r="F55" s="29" t="n">
        <v>16752</v>
      </c>
    </row>
    <row r="56">
      <c r="A56" t="inlineStr">
        <is>
          <t>Treasury stock</t>
        </is>
      </c>
      <c r="B56" s="19" t="n">
        <v>-4220</v>
      </c>
      <c r="C56" s="29" t="n">
        <v>-5087</v>
      </c>
      <c r="D56" s="29" t="n">
        <v>-6150</v>
      </c>
      <c r="E56" s="29" t="n">
        <v>-7190</v>
      </c>
      <c r="F56" s="29" t="n">
        <v>-8061</v>
      </c>
    </row>
    <row r="57">
      <c r="A57" t="inlineStr">
        <is>
          <t>Retained earnings / (deficit)</t>
        </is>
      </c>
      <c r="B57" s="19" t="n">
        <v>-512</v>
      </c>
      <c r="C57" s="29" t="n">
        <v>450</v>
      </c>
      <c r="D57" s="29" t="n">
        <v>1481</v>
      </c>
      <c r="E57" s="29" t="n">
        <v>2648</v>
      </c>
      <c r="F57" s="29" t="n">
        <v>3917</v>
      </c>
    </row>
    <row r="58">
      <c r="A58" t="inlineStr">
        <is>
          <t>AOCI</t>
        </is>
      </c>
      <c r="B58" s="19" t="n">
        <v>-136</v>
      </c>
      <c r="C58" s="29" t="n">
        <v>-136</v>
      </c>
      <c r="D58" s="29" t="n">
        <v>-136</v>
      </c>
      <c r="E58" s="29" t="n">
        <v>-136</v>
      </c>
      <c r="F58" s="29" t="n">
        <v>-136</v>
      </c>
    </row>
    <row r="59">
      <c r="A59" s="2" t="inlineStr">
        <is>
          <t>Total stockholders' equity</t>
        </is>
      </c>
      <c r="B59" s="21" t="n">
        <v>7805</v>
      </c>
      <c r="C59" s="21" t="n">
        <v>9302</v>
      </c>
      <c r="D59" s="21" t="n">
        <v>10388</v>
      </c>
      <c r="E59" s="21" t="n">
        <v>11373</v>
      </c>
      <c r="F59" s="21" t="n">
        <v>12472</v>
      </c>
    </row>
    <row r="61">
      <c r="A61" s="2" t="inlineStr">
        <is>
          <t>Balance check: A − L − E (≈ 0)</t>
        </is>
      </c>
      <c r="B61" s="41" t="n">
        <v>0</v>
      </c>
      <c r="C61" s="41" t="n">
        <v>0</v>
      </c>
      <c r="D61" s="41" t="n">
        <v>0</v>
      </c>
      <c r="E61" s="41" t="n">
        <v>0</v>
      </c>
      <c r="F61" s="41" t="n">
        <v>0</v>
      </c>
    </row>
    <row r="63">
      <c r="A63" s="3" t="inlineStr">
        <is>
          <t>CASH FLOW STATEMENT</t>
        </is>
      </c>
      <c r="B63" s="17" t="n"/>
      <c r="C63" s="17" t="n"/>
      <c r="D63" s="17" t="n"/>
      <c r="E63" s="17" t="n"/>
      <c r="F63" s="17" t="n"/>
    </row>
    <row r="64">
      <c r="A64" s="3" t="inlineStr">
        <is>
          <t>Operating activities</t>
        </is>
      </c>
      <c r="B64" s="17" t="n"/>
      <c r="C64" s="17" t="n"/>
      <c r="D64" s="17" t="n"/>
      <c r="E64" s="17" t="n"/>
      <c r="F64" s="17" t="n"/>
    </row>
    <row r="65">
      <c r="A65" t="inlineStr">
        <is>
          <t>Net income</t>
        </is>
      </c>
      <c r="B65" s="19" t="n">
        <v>693</v>
      </c>
      <c r="C65" s="29" t="n">
        <v>962</v>
      </c>
      <c r="D65" s="29" t="n">
        <v>1392</v>
      </c>
      <c r="E65" s="29" t="n">
        <v>1674</v>
      </c>
      <c r="F65" s="29" t="n">
        <v>1774</v>
      </c>
    </row>
    <row r="66">
      <c r="A66" t="inlineStr">
        <is>
          <t>+ Depreciation</t>
        </is>
      </c>
      <c r="B66" s="19" t="n">
        <v>237</v>
      </c>
      <c r="C66" s="29" t="n">
        <v>237</v>
      </c>
      <c r="D66" s="29" t="n">
        <v>252</v>
      </c>
      <c r="E66" s="29" t="n">
        <v>267</v>
      </c>
      <c r="F66" s="29" t="n">
        <v>282</v>
      </c>
    </row>
    <row r="67">
      <c r="A67" t="inlineStr">
        <is>
          <t>+ Amortization of intangibles</t>
        </is>
      </c>
      <c r="B67" s="19" t="n">
        <v>100</v>
      </c>
      <c r="C67" s="29" t="n">
        <v>100</v>
      </c>
      <c r="D67" s="29" t="n">
        <v>100</v>
      </c>
      <c r="E67" s="29" t="n">
        <v>100</v>
      </c>
      <c r="F67" s="29" t="n">
        <v>100</v>
      </c>
    </row>
    <row r="68">
      <c r="A68" t="inlineStr">
        <is>
          <t>+ Stock-based compensation</t>
        </is>
      </c>
      <c r="B68" s="19" t="n">
        <v>1626</v>
      </c>
      <c r="C68" s="29" t="n">
        <v>1402</v>
      </c>
      <c r="D68" s="29" t="n">
        <v>1118</v>
      </c>
      <c r="E68" s="29" t="n">
        <v>858</v>
      </c>
      <c r="F68" s="29" t="n">
        <v>701</v>
      </c>
    </row>
    <row r="69">
      <c r="A69" t="inlineStr">
        <is>
          <t>± Change in AR</t>
        </is>
      </c>
      <c r="B69" s="40" t="n"/>
      <c r="C69" s="42" t="n">
        <v>50</v>
      </c>
      <c r="D69" s="42" t="n">
        <v>181</v>
      </c>
      <c r="E69" s="42" t="n">
        <v>196</v>
      </c>
      <c r="F69" s="42" t="n">
        <v>193</v>
      </c>
    </row>
    <row r="70">
      <c r="A70" t="inlineStr">
        <is>
          <t>± Change in deferred revenue</t>
        </is>
      </c>
      <c r="B70" s="40" t="n"/>
      <c r="C70" s="42" t="n">
        <v>-370</v>
      </c>
      <c r="D70" s="42" t="n">
        <v>-322</v>
      </c>
      <c r="E70" s="42" t="n">
        <v>-413</v>
      </c>
      <c r="F70" s="42" t="n">
        <v>-398</v>
      </c>
    </row>
    <row r="71">
      <c r="A71" t="inlineStr">
        <is>
          <t>± Change in accrued comp</t>
        </is>
      </c>
      <c r="B71" s="40" t="n"/>
      <c r="C71" s="42" t="n">
        <v>-6</v>
      </c>
      <c r="D71" s="42" t="n">
        <v>-51</v>
      </c>
      <c r="E71" s="42" t="n">
        <v>-55</v>
      </c>
      <c r="F71" s="42" t="n">
        <v>-54</v>
      </c>
    </row>
    <row r="72">
      <c r="A72" t="inlineStr">
        <is>
          <t>± Change in AP + accrued other</t>
        </is>
      </c>
      <c r="B72" s="40" t="n"/>
      <c r="C72" s="42" t="n">
        <v>-7</v>
      </c>
      <c r="D72" s="42" t="n">
        <v>-47</v>
      </c>
      <c r="E72" s="42" t="n">
        <v>-51</v>
      </c>
      <c r="F72" s="42" t="n">
        <v>-50</v>
      </c>
    </row>
    <row r="73">
      <c r="A73" t="inlineStr">
        <is>
          <t>± Change in prepaid</t>
        </is>
      </c>
      <c r="B73" s="40" t="n"/>
      <c r="C73" s="42" t="n">
        <v>12</v>
      </c>
      <c r="D73" s="42" t="n">
        <v>27</v>
      </c>
      <c r="E73" s="42" t="n">
        <v>29</v>
      </c>
      <c r="F73" s="42" t="n">
        <v>29</v>
      </c>
    </row>
    <row r="74">
      <c r="A74" t="inlineStr">
        <is>
          <t>± Change in deferred costs</t>
        </is>
      </c>
      <c r="B74" s="40" t="n"/>
      <c r="C74" s="42" t="n">
        <v>24</v>
      </c>
      <c r="D74" s="42" t="n">
        <v>73</v>
      </c>
      <c r="E74" s="42" t="n">
        <v>79</v>
      </c>
      <c r="F74" s="42" t="n">
        <v>78</v>
      </c>
    </row>
    <row r="75">
      <c r="A75" s="2">
        <f> Operating cash flow</f>
        <v/>
      </c>
      <c r="B75" s="21" t="n">
        <v>2939</v>
      </c>
      <c r="C75" s="21" t="n">
        <v>2403</v>
      </c>
      <c r="D75" s="21" t="n">
        <v>2723</v>
      </c>
      <c r="E75" s="21" t="n">
        <v>2684</v>
      </c>
      <c r="F75" s="21" t="n">
        <v>2655</v>
      </c>
    </row>
    <row r="77">
      <c r="A77" s="3" t="inlineStr">
        <is>
          <t>Investing activities</t>
        </is>
      </c>
      <c r="B77" s="17" t="n"/>
      <c r="C77" s="17" t="n"/>
      <c r="D77" s="17" t="n"/>
      <c r="E77" s="17" t="n"/>
      <c r="F77" s="17" t="n"/>
    </row>
    <row r="78">
      <c r="A78" t="inlineStr">
        <is>
          <t>− Capex</t>
        </is>
      </c>
      <c r="B78" s="19" t="n">
        <v>-162</v>
      </c>
      <c r="C78" s="29" t="n">
        <v>-187</v>
      </c>
      <c r="D78" s="29" t="n">
        <v>-172</v>
      </c>
      <c r="E78" s="29" t="n">
        <v>-156</v>
      </c>
      <c r="F78" s="29" t="n">
        <v>-140</v>
      </c>
    </row>
    <row r="79">
      <c r="A79" t="inlineStr">
        <is>
          <t>− Acquisitions</t>
        </is>
      </c>
      <c r="B79" s="19" t="n"/>
      <c r="C79" s="29" t="n">
        <v>0</v>
      </c>
      <c r="D79" s="29" t="n">
        <v>0</v>
      </c>
      <c r="E79" s="29" t="n">
        <v>0</v>
      </c>
      <c r="F79" s="29" t="n">
        <v>0</v>
      </c>
    </row>
    <row r="80">
      <c r="A80" t="inlineStr">
        <is>
          <t>± Net marketable securities</t>
        </is>
      </c>
      <c r="B80" s="19" t="n"/>
      <c r="C80" s="29" t="n">
        <v>0</v>
      </c>
      <c r="D80" s="29" t="n">
        <v>0</v>
      </c>
      <c r="E80" s="29" t="n">
        <v>0</v>
      </c>
      <c r="F80" s="29" t="n">
        <v>0</v>
      </c>
    </row>
    <row r="81">
      <c r="A81" s="2">
        <f> Investing cash flow</f>
        <v/>
      </c>
      <c r="B81" s="21" t="n">
        <v>-162</v>
      </c>
      <c r="C81" s="21" t="n">
        <v>-187</v>
      </c>
      <c r="D81" s="21" t="n">
        <v>-172</v>
      </c>
      <c r="E81" s="21" t="n">
        <v>-156</v>
      </c>
      <c r="F81" s="21" t="n">
        <v>-140</v>
      </c>
    </row>
    <row r="83">
      <c r="A83" s="3" t="inlineStr">
        <is>
          <t>Financing activities</t>
        </is>
      </c>
      <c r="B83" s="17" t="n"/>
      <c r="C83" s="17" t="n"/>
      <c r="D83" s="17" t="n"/>
      <c r="E83" s="17" t="n"/>
      <c r="F83" s="17" t="n"/>
    </row>
    <row r="84">
      <c r="A84" t="inlineStr">
        <is>
          <t>− Buybacks</t>
        </is>
      </c>
      <c r="B84" s="19" t="n"/>
      <c r="C84" s="29" t="n">
        <v>-867</v>
      </c>
      <c r="D84" s="29" t="n">
        <v>-1063</v>
      </c>
      <c r="E84" s="29" t="n">
        <v>-1040</v>
      </c>
      <c r="F84" s="29" t="n">
        <v>-871</v>
      </c>
    </row>
    <row r="85">
      <c r="A85" t="inlineStr">
        <is>
          <t>− Dividends</t>
        </is>
      </c>
      <c r="B85" s="19" t="n"/>
      <c r="C85" s="29" t="n">
        <v>-0</v>
      </c>
      <c r="D85" s="29" t="n">
        <v>-361</v>
      </c>
      <c r="E85" s="29" t="n">
        <v>-507</v>
      </c>
      <c r="F85" s="29" t="n">
        <v>-505</v>
      </c>
    </row>
    <row r="86">
      <c r="A86" t="inlineStr">
        <is>
          <t>± Net debt</t>
        </is>
      </c>
      <c r="B86" s="19" t="n"/>
      <c r="C86" s="29" t="n">
        <v>0</v>
      </c>
      <c r="D86" s="29" t="n">
        <v>0</v>
      </c>
      <c r="E86" s="29" t="n">
        <v>0</v>
      </c>
      <c r="F86" s="29" t="n">
        <v>0</v>
      </c>
    </row>
    <row r="87">
      <c r="A87" s="2">
        <f> Financing cash flow</f>
        <v/>
      </c>
      <c r="B87" s="21" t="n"/>
      <c r="C87" s="21" t="n">
        <v>-867</v>
      </c>
      <c r="D87" s="21" t="n">
        <v>-1424</v>
      </c>
      <c r="E87" s="21" t="n">
        <v>-1547</v>
      </c>
      <c r="F87" s="21" t="n">
        <v>-1376</v>
      </c>
    </row>
    <row r="89">
      <c r="A89" s="2" t="inlineStr">
        <is>
          <t>Net change in cash</t>
        </is>
      </c>
      <c r="B89" s="19" t="n"/>
      <c r="C89" s="29" t="n">
        <v>1349</v>
      </c>
      <c r="D89" s="29" t="n">
        <v>1127</v>
      </c>
      <c r="E89" s="29" t="n">
        <v>981</v>
      </c>
      <c r="F89" s="29" t="n">
        <v>1139</v>
      </c>
    </row>
    <row r="90">
      <c r="A90" s="2" t="inlineStr">
        <is>
          <t>Beginning cash (FY26 = $1,501M)</t>
        </is>
      </c>
      <c r="B90" s="19" t="n">
        <v>1501</v>
      </c>
      <c r="C90" s="29" t="n">
        <v>1501</v>
      </c>
      <c r="D90" s="29" t="n">
        <v>2850</v>
      </c>
      <c r="E90" s="29" t="n">
        <v>3977</v>
      </c>
      <c r="F90" s="29" t="n">
        <v>4958</v>
      </c>
    </row>
    <row r="91">
      <c r="A91" s="2" t="inlineStr">
        <is>
          <t>Ending cash (= BS cash)</t>
        </is>
      </c>
      <c r="B91" s="21" t="n">
        <v>1501</v>
      </c>
      <c r="C91" s="21" t="n">
        <v>2850</v>
      </c>
      <c r="D91" s="21" t="n">
        <v>3977</v>
      </c>
      <c r="E91" s="21" t="n">
        <v>4958</v>
      </c>
      <c r="F91" s="21" t="n">
        <v>6097</v>
      </c>
    </row>
    <row r="93">
      <c r="A93" s="2" t="inlineStr">
        <is>
          <t>Notes:</t>
        </is>
      </c>
    </row>
    <row r="94">
      <c r="A94" t="inlineStr">
        <is>
          <t>• FY26A balance sheet pulled from SEC XBRL companyfacts (us-gaap) at period end 2026-01-31.</t>
        </is>
      </c>
    </row>
    <row r="95">
      <c r="A95" t="inlineStr">
        <is>
          <t>• Intangibles ($600M) is a 10-K MD&amp;A estimate (not in companyfacts XBRL); small plug ($81M) sits in Other Assets.</t>
        </is>
      </c>
    </row>
    <row r="96">
      <c r="A96" t="inlineStr">
        <is>
          <t>• Tax rate: 25% effective (between FY25 17% and FY26 31% — midcycle assumption).</t>
        </is>
      </c>
    </row>
    <row r="97">
      <c r="A97" t="inlineStr">
        <is>
          <t>• Interest income: 4.0% on prior-year cash + marketable securities. Interest expense: 3.5% on $2,987M Senior Notes (mature 2032, held flat).</t>
        </is>
      </c>
    </row>
    <row r="98">
      <c r="A98" t="inlineStr">
        <is>
          <t>• Goodwill held flat at $5,229M (no new M&amp;A assumed). Sana acquisition already in FY26 base.</t>
        </is>
      </c>
    </row>
    <row r="99">
      <c r="A99" t="inlineStr">
        <is>
          <t>• AR projected at constant 89-day DSO (FY26 actual). Deferred revenue (current) projected at 52.5% of subscription revenue + AI deferred balance from scenario.</t>
        </is>
      </c>
    </row>
    <row r="100">
      <c r="A100" t="inlineStr">
        <is>
          <t>• Marketable securities held flat at $3,942M; cash absorbs all CF flows.</t>
        </is>
      </c>
    </row>
    <row r="101">
      <c r="A101" t="inlineStr">
        <is>
          <t>• Balance check row should be &lt; $5M for each forecast year. Currently ties to $0 across all 12 year-scenarios.</t>
        </is>
      </c>
    </row>
  </sheetData>
  <mergeCells count="8">
    <mergeCell ref="A99:F99"/>
    <mergeCell ref="A98:F98"/>
    <mergeCell ref="A94:F94"/>
    <mergeCell ref="A97:F97"/>
    <mergeCell ref="A100:F100"/>
    <mergeCell ref="A101:F101"/>
    <mergeCell ref="A96:F96"/>
    <mergeCell ref="A95:F9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Unit economics — HCM (seats × PEPM × 12) and Financials (customers × ARPC)</t>
        </is>
      </c>
    </row>
    <row r="2">
      <c r="A2" t="inlineStr">
        <is>
          <t>HCM revenue ($M) = seats(M) × PEPM($/mo) × 12.  Financials revenue ($M) = customers(#) × ARPC($k/yr) / 1000.  All historical values are TRIANGULATED ESTIMATES from WDAY disclosures.</t>
        </is>
      </c>
    </row>
    <row r="3">
      <c r="A3" t="inlineStr">
        <is>
          <t>Reconciliation check: implied revenue should equal the HCM ARR / Financials ARR lines in the Revenue_Build tab (they're computed from the same seats × PEPM math).</t>
        </is>
      </c>
    </row>
    <row r="5">
      <c r="A5" s="3" t="inlineStr">
        <is>
          <t>Historical (FY18-FY26, estimates)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</row>
    <row r="6">
      <c r="A6" s="2" t="inlineStr">
        <is>
          <t>$M / seats / customers</t>
        </is>
      </c>
      <c r="B6" s="14" t="inlineStr">
        <is>
          <t>FY2018</t>
        </is>
      </c>
      <c r="C6" s="14" t="inlineStr">
        <is>
          <t>FY2019</t>
        </is>
      </c>
      <c r="D6" s="14" t="inlineStr">
        <is>
          <t>FY2020</t>
        </is>
      </c>
      <c r="E6" s="14" t="inlineStr">
        <is>
          <t>FY2021</t>
        </is>
      </c>
      <c r="F6" s="14" t="inlineStr">
        <is>
          <t>FY2022</t>
        </is>
      </c>
      <c r="G6" s="14" t="inlineStr">
        <is>
          <t>FY2023</t>
        </is>
      </c>
      <c r="H6" s="14" t="inlineStr">
        <is>
          <t>FY2024</t>
        </is>
      </c>
      <c r="I6" s="14" t="inlineStr">
        <is>
          <t>FY2025</t>
        </is>
      </c>
      <c r="J6" s="14" t="inlineStr">
        <is>
          <t>FY2026</t>
        </is>
      </c>
    </row>
    <row r="7">
      <c r="A7" t="inlineStr">
        <is>
          <t>HCM seats (M)</t>
        </is>
      </c>
      <c r="B7" s="15" t="n">
        <v>18.5</v>
      </c>
      <c r="C7" s="15" t="n">
        <v>22</v>
      </c>
      <c r="D7" s="15" t="n">
        <v>26</v>
      </c>
      <c r="E7" s="15" t="n">
        <v>29.5</v>
      </c>
      <c r="F7" s="15" t="n">
        <v>34</v>
      </c>
      <c r="G7" s="15" t="n">
        <v>40</v>
      </c>
      <c r="H7" s="15" t="n">
        <v>47</v>
      </c>
      <c r="I7" s="15" t="n">
        <v>53</v>
      </c>
      <c r="J7" s="15" t="n">
        <v>60</v>
      </c>
    </row>
    <row r="8">
      <c r="A8" t="inlineStr">
        <is>
          <t>HCM PEPM ($/mo)</t>
        </is>
      </c>
      <c r="B8" s="6" t="n">
        <v>8.74</v>
      </c>
      <c r="C8" s="6" t="n">
        <v>9.44</v>
      </c>
      <c r="D8" s="6" t="n">
        <v>9.800000000000001</v>
      </c>
      <c r="E8" s="6" t="n">
        <v>9.880000000000001</v>
      </c>
      <c r="F8" s="6" t="n">
        <v>10.17</v>
      </c>
      <c r="G8" s="6" t="n">
        <v>10.29</v>
      </c>
      <c r="H8" s="6" t="n">
        <v>9.130000000000001</v>
      </c>
      <c r="I8" s="6" t="n">
        <v>9.24</v>
      </c>
      <c r="J8" s="6" t="n">
        <v>7.82</v>
      </c>
    </row>
    <row r="9">
      <c r="A9" s="2" t="inlineStr">
        <is>
          <t>HCM revenue = seats × PEPM × 12 ($M)</t>
        </is>
      </c>
      <c r="B9" s="30">
        <f>B7*B8*12</f>
        <v/>
      </c>
      <c r="C9" s="30">
        <f>C7*C8*12</f>
        <v/>
      </c>
      <c r="D9" s="30">
        <f>D7*D8*12</f>
        <v/>
      </c>
      <c r="E9" s="30">
        <f>E7*E8*12</f>
        <v/>
      </c>
      <c r="F9" s="30">
        <f>F7*F8*12</f>
        <v/>
      </c>
      <c r="G9" s="30">
        <f>G7*G8*12</f>
        <v/>
      </c>
      <c r="H9" s="30">
        <f>H7*H8*12</f>
        <v/>
      </c>
      <c r="I9" s="30">
        <f>I7*I8*12</f>
        <v/>
      </c>
      <c r="J9" s="30">
        <f>J7*J8*12</f>
        <v/>
      </c>
    </row>
    <row r="11">
      <c r="A11" t="inlineStr">
        <is>
          <t>Financials customers (#)</t>
        </is>
      </c>
      <c r="B11" s="16" t="n">
        <v>380</v>
      </c>
      <c r="C11" s="16" t="n">
        <v>490</v>
      </c>
      <c r="D11" s="16" t="n">
        <v>620</v>
      </c>
      <c r="E11" s="16" t="n">
        <v>770</v>
      </c>
      <c r="F11" s="16" t="n">
        <v>960</v>
      </c>
      <c r="G11" s="16" t="n">
        <v>1200</v>
      </c>
      <c r="H11" s="16" t="n">
        <v>1500</v>
      </c>
      <c r="I11" s="16" t="n">
        <v>1800</v>
      </c>
      <c r="J11" s="16" t="n">
        <v>2150</v>
      </c>
    </row>
    <row r="12">
      <c r="A12" t="inlineStr">
        <is>
          <t>Financials ARPC ($k/yr)</t>
        </is>
      </c>
      <c r="B12" s="8" t="n">
        <v>405</v>
      </c>
      <c r="C12" s="8" t="n">
        <v>462</v>
      </c>
      <c r="D12" s="8" t="n">
        <v>528</v>
      </c>
      <c r="E12" s="8" t="n">
        <v>599</v>
      </c>
      <c r="F12" s="8" t="n">
        <v>678</v>
      </c>
      <c r="G12" s="8" t="n">
        <v>808</v>
      </c>
      <c r="H12" s="8" t="n">
        <v>969</v>
      </c>
      <c r="I12" s="8" t="n">
        <v>965</v>
      </c>
      <c r="J12" s="8" t="n">
        <v>1304</v>
      </c>
    </row>
    <row r="13">
      <c r="A13" s="2" t="inlineStr">
        <is>
          <t>Financials revenue = customers × ARPC / 1000 ($M)</t>
        </is>
      </c>
      <c r="B13" s="30">
        <f>B11*B12/1000</f>
        <v/>
      </c>
      <c r="C13" s="30">
        <f>C11*C12/1000</f>
        <v/>
      </c>
      <c r="D13" s="30">
        <f>D11*D12/1000</f>
        <v/>
      </c>
      <c r="E13" s="30">
        <f>E11*E12/1000</f>
        <v/>
      </c>
      <c r="F13" s="30">
        <f>F11*F12/1000</f>
        <v/>
      </c>
      <c r="G13" s="30">
        <f>G11*G12/1000</f>
        <v/>
      </c>
      <c r="H13" s="30">
        <f>H11*H12/1000</f>
        <v/>
      </c>
      <c r="I13" s="30">
        <f>I11*I12/1000</f>
        <v/>
      </c>
      <c r="J13" s="30">
        <f>J11*J12/1000</f>
        <v/>
      </c>
    </row>
    <row r="16">
      <c r="A16" s="3" t="inlineStr">
        <is>
          <t>Forecast (FY27-FY30) per scenario</t>
        </is>
      </c>
      <c r="B16" s="17" t="n"/>
      <c r="C16" s="17" t="n"/>
      <c r="D16" s="17" t="n"/>
      <c r="E16" s="17" t="n"/>
      <c r="F16" s="17" t="n"/>
    </row>
    <row r="17">
      <c r="A17" s="3" t="inlineStr">
        <is>
          <t>Good AI</t>
        </is>
      </c>
      <c r="B17" s="17" t="n"/>
      <c r="C17" s="17" t="n"/>
      <c r="D17" s="17" t="n"/>
      <c r="E17" s="17" t="n"/>
      <c r="F17" s="17" t="n"/>
    </row>
    <row r="18">
      <c r="A18" s="2" t="inlineStr">
        <is>
          <t>$M / seats / customers</t>
        </is>
      </c>
      <c r="B18" s="14" t="inlineStr">
        <is>
          <t>FY2027</t>
        </is>
      </c>
      <c r="C18" s="14" t="inlineStr">
        <is>
          <t>FY2028</t>
        </is>
      </c>
      <c r="D18" s="14" t="inlineStr">
        <is>
          <t>FY2029</t>
        </is>
      </c>
      <c r="E18" s="14" t="inlineStr">
        <is>
          <t>FY2030</t>
        </is>
      </c>
    </row>
    <row r="19">
      <c r="A19" t="inlineStr">
        <is>
          <t>HCM seats (M)</t>
        </is>
      </c>
      <c r="B19" s="15" t="n">
        <v>62</v>
      </c>
      <c r="C19" s="15" t="n">
        <v>64</v>
      </c>
      <c r="D19" s="15" t="n">
        <v>66</v>
      </c>
      <c r="E19" s="15" t="n">
        <v>68</v>
      </c>
    </row>
    <row r="20">
      <c r="A20" t="inlineStr">
        <is>
          <t>HCM PEPM ($/mo)</t>
        </is>
      </c>
      <c r="B20" s="6" t="n">
        <v>7.97</v>
      </c>
      <c r="C20" s="6" t="n">
        <v>8.300000000000001</v>
      </c>
      <c r="D20" s="6" t="n">
        <v>8.74</v>
      </c>
      <c r="E20" s="6" t="n">
        <v>9.18</v>
      </c>
    </row>
    <row r="21">
      <c r="A21" s="2" t="inlineStr">
        <is>
          <t>HCM revenue = seats × PEPM × 12 ($M)</t>
        </is>
      </c>
      <c r="B21" s="30">
        <f>B19*B20*12</f>
        <v/>
      </c>
      <c r="C21" s="30">
        <f>C19*C20*12</f>
        <v/>
      </c>
      <c r="D21" s="30">
        <f>D19*D20*12</f>
        <v/>
      </c>
      <c r="E21" s="30">
        <f>E19*E20*12</f>
        <v/>
      </c>
    </row>
    <row r="22">
      <c r="A22" s="2" t="inlineStr">
        <is>
          <t>HCM ARR from model ($M)</t>
        </is>
      </c>
      <c r="B22" s="16" t="n">
        <v>5930</v>
      </c>
      <c r="C22" s="16" t="n">
        <v>6374</v>
      </c>
      <c r="D22" s="16" t="n">
        <v>6922</v>
      </c>
      <c r="E22" s="16" t="n">
        <v>7491</v>
      </c>
    </row>
    <row r="23">
      <c r="A23" t="inlineStr">
        <is>
          <t>Check: implied − HCM ARR ($M, should ≈ 0)</t>
        </is>
      </c>
      <c r="B23" s="43">
        <f>B21-B22</f>
        <v/>
      </c>
      <c r="C23" s="43">
        <f>C21-C22</f>
        <v/>
      </c>
      <c r="D23" s="43">
        <f>D21-D22</f>
        <v/>
      </c>
      <c r="E23" s="43">
        <f>E21-E22</f>
        <v/>
      </c>
    </row>
    <row r="25">
      <c r="A25" t="inlineStr">
        <is>
          <t>Financials customers (#)</t>
        </is>
      </c>
      <c r="B25" s="16" t="n">
        <v>2400</v>
      </c>
      <c r="C25" s="16" t="n">
        <v>2700</v>
      </c>
      <c r="D25" s="16" t="n">
        <v>3000</v>
      </c>
      <c r="E25" s="16" t="n">
        <v>3300</v>
      </c>
    </row>
    <row r="26">
      <c r="A26" t="inlineStr">
        <is>
          <t>Financials ARPC ($k/yr)</t>
        </is>
      </c>
      <c r="B26" s="8" t="n">
        <v>1400</v>
      </c>
      <c r="C26" s="8" t="n">
        <v>1500</v>
      </c>
      <c r="D26" s="8" t="n">
        <v>1610</v>
      </c>
      <c r="E26" s="8" t="n">
        <v>1720</v>
      </c>
    </row>
    <row r="27">
      <c r="A27" s="2" t="inlineStr">
        <is>
          <t>Financials revenue = customers × ARPC / 1000 ($M)</t>
        </is>
      </c>
      <c r="B27" s="30">
        <f>B25*B26/1000</f>
        <v/>
      </c>
      <c r="C27" s="30">
        <f>C25*C26/1000</f>
        <v/>
      </c>
      <c r="D27" s="30">
        <f>D25*D26/1000</f>
        <v/>
      </c>
      <c r="E27" s="30">
        <f>E25*E26/1000</f>
        <v/>
      </c>
    </row>
    <row r="28">
      <c r="A28" s="2" t="inlineStr">
        <is>
          <t>Financials ARR from model ($M)</t>
        </is>
      </c>
      <c r="B28" s="16" t="n">
        <v>3360</v>
      </c>
      <c r="C28" s="16" t="n">
        <v>4050</v>
      </c>
      <c r="D28" s="16" t="n">
        <v>4830</v>
      </c>
      <c r="E28" s="16" t="n">
        <v>5676</v>
      </c>
    </row>
    <row r="29">
      <c r="A29" t="inlineStr">
        <is>
          <t>Check: implied − Fin ARR ($M, should ≈ 0)</t>
        </is>
      </c>
      <c r="B29" s="43">
        <f>B27-B28</f>
        <v/>
      </c>
      <c r="C29" s="43">
        <f>C27-C28</f>
        <v/>
      </c>
      <c r="D29" s="43">
        <f>D27-D28</f>
        <v/>
      </c>
      <c r="E29" s="43">
        <f>E27-E28</f>
        <v/>
      </c>
    </row>
    <row r="32">
      <c r="A32" s="3" t="inlineStr">
        <is>
          <t>Runs For Cash</t>
        </is>
      </c>
      <c r="B32" s="17" t="n"/>
      <c r="C32" s="17" t="n"/>
      <c r="D32" s="17" t="n"/>
      <c r="E32" s="17" t="n"/>
      <c r="F32" s="17" t="n"/>
    </row>
    <row r="33">
      <c r="A33" s="2" t="inlineStr">
        <is>
          <t>$M / seats / customers</t>
        </is>
      </c>
      <c r="B33" s="14" t="inlineStr">
        <is>
          <t>FY2027</t>
        </is>
      </c>
      <c r="C33" s="14" t="inlineStr">
        <is>
          <t>FY2028</t>
        </is>
      </c>
      <c r="D33" s="14" t="inlineStr">
        <is>
          <t>FY2029</t>
        </is>
      </c>
      <c r="E33" s="14" t="inlineStr">
        <is>
          <t>FY2030</t>
        </is>
      </c>
    </row>
    <row r="34">
      <c r="A34" t="inlineStr">
        <is>
          <t>HCM seats (M)</t>
        </is>
      </c>
      <c r="B34" s="15" t="n">
        <v>61.5</v>
      </c>
      <c r="C34" s="15" t="n">
        <v>60.5</v>
      </c>
      <c r="D34" s="15" t="n">
        <v>58.5</v>
      </c>
      <c r="E34" s="15" t="n">
        <v>56</v>
      </c>
    </row>
    <row r="35">
      <c r="A35" t="inlineStr">
        <is>
          <t>HCM PEPM ($/mo)</t>
        </is>
      </c>
      <c r="B35" s="6" t="n">
        <v>7.95</v>
      </c>
      <c r="C35" s="6" t="n">
        <v>7.8</v>
      </c>
      <c r="D35" s="6" t="n">
        <v>7.65</v>
      </c>
      <c r="E35" s="6" t="n">
        <v>7.5</v>
      </c>
    </row>
    <row r="36">
      <c r="A36" s="2" t="inlineStr">
        <is>
          <t>HCM revenue = seats × PEPM × 12 ($M)</t>
        </is>
      </c>
      <c r="B36" s="30">
        <f>B34*B35*12</f>
        <v/>
      </c>
      <c r="C36" s="30">
        <f>C34*C35*12</f>
        <v/>
      </c>
      <c r="D36" s="30">
        <f>D34*D35*12</f>
        <v/>
      </c>
      <c r="E36" s="30">
        <f>E34*E35*12</f>
        <v/>
      </c>
    </row>
    <row r="37">
      <c r="A37" s="2" t="inlineStr">
        <is>
          <t>HCM ARR from model ($M)</t>
        </is>
      </c>
      <c r="B37" s="16" t="n">
        <v>5867</v>
      </c>
      <c r="C37" s="16" t="n">
        <v>5663</v>
      </c>
      <c r="D37" s="16" t="n">
        <v>5370</v>
      </c>
      <c r="E37" s="16" t="n">
        <v>5040</v>
      </c>
    </row>
    <row r="38">
      <c r="A38" t="inlineStr">
        <is>
          <t>Check: implied − HCM ARR ($M, should ≈ 0)</t>
        </is>
      </c>
      <c r="B38" s="43">
        <f>B36-B37</f>
        <v/>
      </c>
      <c r="C38" s="43">
        <f>C36-C37</f>
        <v/>
      </c>
      <c r="D38" s="43">
        <f>D36-D37</f>
        <v/>
      </c>
      <c r="E38" s="43">
        <f>E36-E37</f>
        <v/>
      </c>
    </row>
    <row r="40">
      <c r="A40" t="inlineStr">
        <is>
          <t>Financials customers (#)</t>
        </is>
      </c>
      <c r="B40" s="16" t="n">
        <v>2250</v>
      </c>
      <c r="C40" s="16" t="n">
        <v>2250</v>
      </c>
      <c r="D40" s="16" t="n">
        <v>2150</v>
      </c>
      <c r="E40" s="16" t="n">
        <v>2050</v>
      </c>
    </row>
    <row r="41">
      <c r="A41" t="inlineStr">
        <is>
          <t>Financials ARPC ($k/yr)</t>
        </is>
      </c>
      <c r="B41" s="8" t="n">
        <v>1250</v>
      </c>
      <c r="C41" s="8" t="n">
        <v>1165</v>
      </c>
      <c r="D41" s="8" t="n">
        <v>1040</v>
      </c>
      <c r="E41" s="8" t="n">
        <v>950</v>
      </c>
    </row>
    <row r="42">
      <c r="A42" s="2" t="inlineStr">
        <is>
          <t>Financials revenue = customers × ARPC / 1000 ($M)</t>
        </is>
      </c>
      <c r="B42" s="30">
        <f>B40*B41/1000</f>
        <v/>
      </c>
      <c r="C42" s="30">
        <f>C40*C41/1000</f>
        <v/>
      </c>
      <c r="D42" s="30">
        <f>D40*D41/1000</f>
        <v/>
      </c>
      <c r="E42" s="30">
        <f>E40*E41/1000</f>
        <v/>
      </c>
    </row>
    <row r="43">
      <c r="A43" s="2" t="inlineStr">
        <is>
          <t>Financials ARR from model ($M)</t>
        </is>
      </c>
      <c r="B43" s="16" t="n">
        <v>2812</v>
      </c>
      <c r="C43" s="16" t="n">
        <v>2621</v>
      </c>
      <c r="D43" s="16" t="n">
        <v>2236</v>
      </c>
      <c r="E43" s="16" t="n">
        <v>1948</v>
      </c>
    </row>
    <row r="44">
      <c r="A44" t="inlineStr">
        <is>
          <t>Check: implied − Fin ARR ($M, should ≈ 0)</t>
        </is>
      </c>
      <c r="B44" s="43">
        <f>B42-B43</f>
        <v/>
      </c>
      <c r="C44" s="43">
        <f>C42-C43</f>
        <v/>
      </c>
      <c r="D44" s="43">
        <f>D42-D43</f>
        <v/>
      </c>
      <c r="E44" s="43">
        <f>E42-E43</f>
        <v/>
      </c>
    </row>
    <row r="47">
      <c r="A47" s="3" t="inlineStr">
        <is>
          <t>What Goes Wrong</t>
        </is>
      </c>
      <c r="B47" s="17" t="n"/>
      <c r="C47" s="17" t="n"/>
      <c r="D47" s="17" t="n"/>
      <c r="E47" s="17" t="n"/>
      <c r="F47" s="17" t="n"/>
    </row>
    <row r="48">
      <c r="A48" s="2" t="inlineStr">
        <is>
          <t>$M / seats / customers</t>
        </is>
      </c>
      <c r="B48" s="14" t="inlineStr">
        <is>
          <t>FY2027</t>
        </is>
      </c>
      <c r="C48" s="14" t="inlineStr">
        <is>
          <t>FY2028</t>
        </is>
      </c>
      <c r="D48" s="14" t="inlineStr">
        <is>
          <t>FY2029</t>
        </is>
      </c>
      <c r="E48" s="14" t="inlineStr">
        <is>
          <t>FY2030</t>
        </is>
      </c>
    </row>
    <row r="49">
      <c r="A49" t="inlineStr">
        <is>
          <t>HCM seats (M)</t>
        </is>
      </c>
      <c r="B49" s="15" t="n">
        <v>60</v>
      </c>
      <c r="C49" s="15" t="n">
        <v>57</v>
      </c>
      <c r="D49" s="15" t="n">
        <v>54</v>
      </c>
      <c r="E49" s="15" t="n">
        <v>51</v>
      </c>
    </row>
    <row r="50">
      <c r="A50" t="inlineStr">
        <is>
          <t>HCM PEPM ($/mo)</t>
        </is>
      </c>
      <c r="B50" s="6" t="n">
        <v>7.85</v>
      </c>
      <c r="C50" s="6" t="n">
        <v>7.65</v>
      </c>
      <c r="D50" s="6" t="n">
        <v>7.4</v>
      </c>
      <c r="E50" s="6" t="n">
        <v>7.15</v>
      </c>
    </row>
    <row r="51">
      <c r="A51" s="2" t="inlineStr">
        <is>
          <t>HCM revenue = seats × PEPM × 12 ($M)</t>
        </is>
      </c>
      <c r="B51" s="30">
        <f>B49*B50*12</f>
        <v/>
      </c>
      <c r="C51" s="30">
        <f>C49*C50*12</f>
        <v/>
      </c>
      <c r="D51" s="30">
        <f>D49*D50*12</f>
        <v/>
      </c>
      <c r="E51" s="30">
        <f>E49*E50*12</f>
        <v/>
      </c>
    </row>
    <row r="52">
      <c r="A52" s="2" t="inlineStr">
        <is>
          <t>HCM ARR from model ($M)</t>
        </is>
      </c>
      <c r="B52" s="16" t="n">
        <v>5652</v>
      </c>
      <c r="C52" s="16" t="n">
        <v>5233</v>
      </c>
      <c r="D52" s="16" t="n">
        <v>4795</v>
      </c>
      <c r="E52" s="16" t="n">
        <v>4376</v>
      </c>
    </row>
    <row r="53">
      <c r="A53" t="inlineStr">
        <is>
          <t>Check: implied − HCM ARR ($M, should ≈ 0)</t>
        </is>
      </c>
      <c r="B53" s="43">
        <f>B51-B52</f>
        <v/>
      </c>
      <c r="C53" s="43">
        <f>C51-C52</f>
        <v/>
      </c>
      <c r="D53" s="43">
        <f>D51-D52</f>
        <v/>
      </c>
      <c r="E53" s="43">
        <f>E51-E52</f>
        <v/>
      </c>
    </row>
    <row r="55">
      <c r="A55" t="inlineStr">
        <is>
          <t>Financials customers (#)</t>
        </is>
      </c>
      <c r="B55" s="16" t="n">
        <v>2200</v>
      </c>
      <c r="C55" s="16" t="n">
        <v>2100</v>
      </c>
      <c r="D55" s="16" t="n">
        <v>1950</v>
      </c>
      <c r="E55" s="16" t="n">
        <v>1800</v>
      </c>
    </row>
    <row r="56">
      <c r="A56" t="inlineStr">
        <is>
          <t>Financials ARPC ($k/yr)</t>
        </is>
      </c>
      <c r="B56" s="8" t="n">
        <v>1200</v>
      </c>
      <c r="C56" s="8" t="n">
        <v>1100</v>
      </c>
      <c r="D56" s="8" t="n">
        <v>1000</v>
      </c>
      <c r="E56" s="8" t="n">
        <v>920</v>
      </c>
    </row>
    <row r="57">
      <c r="A57" s="2" t="inlineStr">
        <is>
          <t>Financials revenue = customers × ARPC / 1000 ($M)</t>
        </is>
      </c>
      <c r="B57" s="30">
        <f>B55*B56/1000</f>
        <v/>
      </c>
      <c r="C57" s="30">
        <f>C55*C56/1000</f>
        <v/>
      </c>
      <c r="D57" s="30">
        <f>D55*D56/1000</f>
        <v/>
      </c>
      <c r="E57" s="30">
        <f>E55*E56/1000</f>
        <v/>
      </c>
    </row>
    <row r="58">
      <c r="A58" s="2" t="inlineStr">
        <is>
          <t>Financials ARR from model ($M)</t>
        </is>
      </c>
      <c r="B58" s="16" t="n">
        <v>2640</v>
      </c>
      <c r="C58" s="16" t="n">
        <v>2310</v>
      </c>
      <c r="D58" s="16" t="n">
        <v>1950</v>
      </c>
      <c r="E58" s="16" t="n">
        <v>1656</v>
      </c>
    </row>
    <row r="59">
      <c r="A59" t="inlineStr">
        <is>
          <t>Check: implied − Fin ARR ($M, should ≈ 0)</t>
        </is>
      </c>
      <c r="B59" s="43">
        <f>B57-B58</f>
        <v/>
      </c>
      <c r="C59" s="43">
        <f>C57-C58</f>
        <v/>
      </c>
      <c r="D59" s="43">
        <f>D57-D58</f>
        <v/>
      </c>
      <c r="E59" s="43">
        <f>E57-E58</f>
        <v/>
      </c>
    </row>
    <row r="62">
      <c r="A62" s="2" t="inlineStr">
        <is>
          <t>Notes:</t>
        </is>
      </c>
    </row>
    <row r="63">
      <c r="A63" t="inlineStr">
        <is>
          <t>• Historical seats/PEPM/customers/ARPC are ESTIMATES triangulated from WDAY disclosures.</t>
        </is>
      </c>
    </row>
    <row r="64">
      <c r="A64" t="inlineStr">
        <is>
          <t>• Reported 75M 'users under contract' (FY26) includes Financials + Adaptive users; HCM-active seats est. ~60M.</t>
        </is>
      </c>
    </row>
    <row r="65">
      <c r="A65" t="inlineStr">
        <is>
          <t>• PEPM declines 2024-2026 as mid-market share rises (~50% of new logos are sub-1K-EE).</t>
        </is>
      </c>
    </row>
    <row r="66">
      <c r="A66" t="inlineStr">
        <is>
          <t>• Financials customer count grew ~5x over 8 years; ARPC went from ~$400k to ~$1.3M as deals get bigger (F500 buying full GL/Procurement/Expenses stack).</t>
        </is>
      </c>
    </row>
    <row r="67">
      <c r="A67" t="inlineStr">
        <is>
          <t>• Reconciliation check: implied seats × PEPM revenue equals HCM ARR line in Revenue_Build tab (same math).</t>
        </is>
      </c>
    </row>
  </sheetData>
  <mergeCells count="5">
    <mergeCell ref="A64:K64"/>
    <mergeCell ref="A65:K65"/>
    <mergeCell ref="A63:K63"/>
    <mergeCell ref="A66:K66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2026-05-20T19:04:03Z</dcterms:created>
  <dcterms:modified xmlns:dcterms="http://purl.org/dc/terms/" xmlns:xsi="http://www.w3.org/2001/XMLSchema-instance" xsi:type="dcterms:W3CDTF">2026-05-20T19:04:03Z</dcterms:modified>
</cp:coreProperties>
</file>