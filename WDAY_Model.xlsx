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Revenue_Build" sheetId="4" state="visible" r:id="rId4"/>
    <sheet xmlns:r="http://schemas.openxmlformats.org/officeDocument/2006/relationships" name="Forecast_AI" sheetId="5" state="visible" r:id="rId5"/>
    <sheet xmlns:r="http://schemas.openxmlformats.org/officeDocument/2006/relationships" name="Forecast_Cash" sheetId="6" state="visible" r:id="rId6"/>
    <sheet xmlns:r="http://schemas.openxmlformats.org/officeDocument/2006/relationships" name="Forecast_Bear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itivities" sheetId="11" state="visible" r:id="rId11"/>
    <sheet xmlns:r="http://schemas.openxmlformats.org/officeDocument/2006/relationships" name="AI_Deferre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$#,##0.00"/>
    <numFmt numFmtId="165" formatCode="0.0%"/>
    <numFmt numFmtId="166" formatCode="0.0&quot;x&quot;"/>
    <numFmt numFmtId="167" formatCode="0&quot;x&quot;"/>
    <numFmt numFmtId="168" formatCode="#,##0.0"/>
    <numFmt numFmtId="169" formatCode="&quot;$&quot;#,##0.00"/>
    <numFmt numFmtId="170" formatCode="&quot;$&quot;#,##0"/>
    <numFmt numFmtId="171" formatCode="0.0"/>
    <numFmt numFmtId="172" formatCode="#,##0;(#,##0)"/>
    <numFmt numFmtId="173" formatCode="+0.0%;-0.0%;0.0%"/>
    <numFmt numFmtId="174" formatCode="+#,##0;-#,##0;0"/>
    <numFmt numFmtId="175" formatCode="+#,##0;-#,##0"/>
    <numFmt numFmtId="176" formatCode="&quot;$&quot;#,##0.00;(&quot;$&quot;#,##0.00)"/>
  </numFmts>
  <fonts count="10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0"/>
    </font>
    <font>
      <name val="Calibri"/>
      <b val="1"/>
      <color rgb="0000294b"/>
      <sz val="11"/>
    </font>
    <font>
      <i val="1"/>
      <sz val="9"/>
    </font>
    <font>
      <name val="Calibri"/>
      <b val="1"/>
      <color rgb="0000294b"/>
      <sz val="12"/>
    </font>
    <font>
      <name val="Calibri"/>
      <i val="1"/>
      <sz val="10"/>
    </font>
  </fonts>
  <fills count="11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007e6c"/>
      </patternFill>
    </fill>
    <fill>
      <patternFill patternType="solid">
        <fgColor rgb="00a6256e"/>
      </patternFill>
    </fill>
    <fill>
      <patternFill patternType="solid">
        <fgColor rgb="00e6f4f1"/>
      </patternFill>
    </fill>
    <fill>
      <patternFill patternType="solid">
        <fgColor rgb="00ddf6f6"/>
      </patternFill>
    </fill>
    <fill>
      <patternFill patternType="solid">
        <fgColor rgb="00bae5dc"/>
      </patternFill>
    </fill>
    <fill>
      <patternFill patternType="solid">
        <fgColor rgb="00fbeaf2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69" fontId="0" fillId="0" borderId="0" pivotButton="0" quotePrefix="0" xfId="0"/>
    <xf numFmtId="176" fontId="0" fillId="0" borderId="0" pivotButton="0" quotePrefix="0" xfId="0"/>
    <xf numFmtId="170" fontId="0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8" fontId="0" fillId="0" borderId="0" pivotButton="0" quotePrefix="0" xfId="0"/>
    <xf numFmtId="3" fontId="0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4" fillId="4" borderId="0" pivotButton="0" quotePrefix="0" xfId="0"/>
    <xf numFmtId="172" fontId="0" fillId="4" borderId="0" pivotButton="0" quotePrefix="0" xfId="0"/>
    <xf numFmtId="0" fontId="5" fillId="2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6" fillId="3" borderId="0" pivotButton="0" quotePrefix="0" xfId="0"/>
    <xf numFmtId="168" fontId="0" fillId="7" borderId="0" pivotButton="0" quotePrefix="0" xfId="0"/>
    <xf numFmtId="169" fontId="0" fillId="7" borderId="0" pivotButton="0" quotePrefix="0" xfId="0"/>
    <xf numFmtId="3" fontId="0" fillId="7" borderId="0" pivotButton="0" quotePrefix="0" xfId="0"/>
    <xf numFmtId="170" fontId="0" fillId="7" borderId="0" pivotButton="0" quotePrefix="0" xfId="0"/>
    <xf numFmtId="165" fontId="0" fillId="7" borderId="0" pivotButton="0" quotePrefix="0" xfId="0"/>
    <xf numFmtId="0" fontId="3" fillId="2" borderId="0" pivotButton="0" quotePrefix="0" xfId="0"/>
    <xf numFmtId="0" fontId="0" fillId="2" borderId="0" pivotButton="0" quotePrefix="0" xfId="0"/>
    <xf numFmtId="172" fontId="0" fillId="7" borderId="0" pivotButton="0" quotePrefix="0" xfId="0"/>
    <xf numFmtId="173" fontId="0" fillId="0" borderId="0" pivotButton="0" quotePrefix="0" xfId="0"/>
    <xf numFmtId="174" fontId="0" fillId="4" borderId="0" pivotButton="0" quotePrefix="0" xfId="0"/>
    <xf numFmtId="175" fontId="0" fillId="7" borderId="0" pivotButton="0" quotePrefix="0" xfId="0"/>
    <xf numFmtId="169" fontId="0" fillId="4" borderId="0" pivotButton="0" quotePrefix="0" xfId="0"/>
    <xf numFmtId="166" fontId="0" fillId="4" borderId="0" pivotButton="0" quotePrefix="0" xfId="0"/>
    <xf numFmtId="0" fontId="7" fillId="0" borderId="0" pivotButton="0" quotePrefix="0" xfId="0"/>
    <xf numFmtId="167" fontId="0" fillId="4" borderId="0" pivotButton="0" quotePrefix="0" xfId="0"/>
    <xf numFmtId="170" fontId="0" fillId="4" borderId="0" pivotButton="0" quotePrefix="0" xfId="0"/>
    <xf numFmtId="173" fontId="0" fillId="4" borderId="0" pivotButton="0" quotePrefix="0" xfId="0"/>
    <xf numFmtId="0" fontId="8" fillId="3" borderId="0" pivotButton="0" quotePrefix="0" xfId="0"/>
    <xf numFmtId="0" fontId="9" fillId="0" borderId="0" pivotButton="0" quotePrefix="0" xfId="0"/>
    <xf numFmtId="170" fontId="0" fillId="8" borderId="0" pivotButton="0" quotePrefix="0" xfId="0"/>
    <xf numFmtId="170" fontId="0" fillId="9" borderId="0" pivotButton="0" quotePrefix="0" xfId="0"/>
    <xf numFmtId="170" fontId="0" fillId="10" borderId="0" pivotButton="0" quotePrefix="0" xfId="0"/>
    <xf numFmtId="17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+111.6%</t>
        </is>
      </c>
    </row>
    <row r="18">
      <c r="A18" s="2" t="inlineStr">
        <is>
          <t>Prob-weighted FY30 TSR (4yr)</t>
        </is>
      </c>
      <c r="B18" t="inlineStr">
        <is>
          <t>+147.9%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Terminal $</t>
        </is>
      </c>
      <c r="D21" s="4" t="inlineStr">
        <is>
          <t>Price Δ $</t>
        </is>
      </c>
      <c r="E21" s="4" t="inlineStr">
        <is>
          <t>Cum Div $/sh</t>
        </is>
      </c>
      <c r="F21" s="4" t="inlineStr">
        <is>
          <t>Buyback $$M</t>
        </is>
      </c>
      <c r="G21" s="4" t="inlineStr">
        <is>
          <t>TSR %</t>
        </is>
      </c>
      <c r="H21" s="4" t="inlineStr">
        <is>
          <t>IRR %</t>
        </is>
      </c>
    </row>
    <row r="22">
      <c r="A22" t="inlineStr">
        <is>
          <t>Good AI</t>
        </is>
      </c>
      <c r="B22" s="5" t="n">
        <v>0.35</v>
      </c>
      <c r="C22" s="6" t="n">
        <v>577.92</v>
      </c>
      <c r="D22" s="7" t="n">
        <v>448.58</v>
      </c>
      <c r="E22" s="6" t="n">
        <v>0</v>
      </c>
      <c r="F22" s="8" t="n">
        <v>5652</v>
      </c>
      <c r="G22" s="9" t="n">
        <v>3.468</v>
      </c>
      <c r="H22" s="10" t="n">
        <v>0.647</v>
      </c>
    </row>
    <row r="23">
      <c r="A23" t="inlineStr">
        <is>
          <t>Runs For Cash</t>
        </is>
      </c>
      <c r="B23" s="5" t="n">
        <v>0.35</v>
      </c>
      <c r="C23" s="6" t="n">
        <v>125.26</v>
      </c>
      <c r="D23" s="7" t="n">
        <v>-4.08</v>
      </c>
      <c r="E23" s="6" t="n">
        <v>11.78</v>
      </c>
      <c r="F23" s="8" t="n">
        <v>6617</v>
      </c>
      <c r="G23" s="9" t="n">
        <v>0.06</v>
      </c>
      <c r="H23" s="10" t="n">
        <v>0.019</v>
      </c>
    </row>
    <row r="24">
      <c r="A24" t="inlineStr">
        <is>
          <t>What Goes Wrong</t>
        </is>
      </c>
      <c r="B24" s="5" t="n">
        <v>0.3</v>
      </c>
      <c r="C24" s="6" t="n">
        <v>74.88</v>
      </c>
      <c r="D24" s="7" t="n">
        <v>-54.46</v>
      </c>
      <c r="E24" s="6" t="n">
        <v>3.39</v>
      </c>
      <c r="F24" s="8" t="n">
        <v>2970</v>
      </c>
      <c r="G24" s="9" t="n">
        <v>-0.395</v>
      </c>
      <c r="H24" s="10" t="n">
        <v>-0.154</v>
      </c>
    </row>
    <row r="26">
      <c r="A26" s="3" t="inlineStr">
        <is>
          <t>Scenario FY30 TSR (4-year)</t>
        </is>
      </c>
    </row>
    <row r="27">
      <c r="A27" s="4" t="inlineStr">
        <is>
          <t>Scenario</t>
        </is>
      </c>
      <c r="B27" s="4" t="inlineStr">
        <is>
          <t>Prob</t>
        </is>
      </c>
      <c r="C27" s="4" t="inlineStr">
        <is>
          <t>Terminal $</t>
        </is>
      </c>
      <c r="D27" s="4" t="inlineStr">
        <is>
          <t>Price Δ $</t>
        </is>
      </c>
      <c r="E27" s="4" t="inlineStr">
        <is>
          <t>Cum Div $/sh</t>
        </is>
      </c>
      <c r="F27" s="4" t="inlineStr">
        <is>
          <t>Buyback $$M</t>
        </is>
      </c>
      <c r="G27" s="4" t="inlineStr">
        <is>
          <t>TSR %</t>
        </is>
      </c>
      <c r="H27" s="4" t="inlineStr">
        <is>
          <t>IRR %</t>
        </is>
      </c>
    </row>
    <row r="28">
      <c r="A28" t="inlineStr">
        <is>
          <t>Good AI</t>
        </is>
      </c>
      <c r="B28" s="5" t="n">
        <v>0.35</v>
      </c>
      <c r="C28" s="6" t="n">
        <v>708.15</v>
      </c>
      <c r="D28" s="7" t="n">
        <v>578.8099999999999</v>
      </c>
      <c r="E28" s="6" t="n">
        <v>0</v>
      </c>
      <c r="F28" s="8" t="n">
        <v>10044</v>
      </c>
      <c r="G28" s="9" t="n">
        <v>4.475</v>
      </c>
      <c r="H28" s="10" t="n">
        <v>0.53</v>
      </c>
    </row>
    <row r="29">
      <c r="A29" t="inlineStr">
        <is>
          <t>Runs For Cash</t>
        </is>
      </c>
      <c r="B29" s="5" t="n">
        <v>0.35</v>
      </c>
      <c r="C29" s="6" t="n">
        <v>124.93</v>
      </c>
      <c r="D29" s="7" t="n">
        <v>-4.41</v>
      </c>
      <c r="E29" s="6" t="n">
        <v>18.94</v>
      </c>
      <c r="F29" s="8" t="n">
        <v>9556</v>
      </c>
      <c r="G29" s="9" t="n">
        <v>0.112</v>
      </c>
      <c r="H29" s="10" t="n">
        <v>0.027</v>
      </c>
    </row>
    <row r="30">
      <c r="A30" t="inlineStr">
        <is>
          <t>What Goes Wrong</t>
        </is>
      </c>
      <c r="B30" s="5" t="n">
        <v>0.3</v>
      </c>
      <c r="C30" s="6" t="n">
        <v>69.15000000000001</v>
      </c>
      <c r="D30" s="7" t="n">
        <v>-60.19</v>
      </c>
      <c r="E30" s="6" t="n">
        <v>5.48</v>
      </c>
      <c r="F30" s="8" t="n">
        <v>3841</v>
      </c>
      <c r="G30" s="9" t="n">
        <v>-0.423</v>
      </c>
      <c r="H30" s="10" t="n">
        <v>-0.128</v>
      </c>
    </row>
    <row r="32">
      <c r="A32" s="3" t="inlineStr">
        <is>
          <t>Headline math (FY29)</t>
        </is>
      </c>
    </row>
    <row r="33">
      <c r="A33" t="inlineStr">
        <is>
          <t>Good AI</t>
        </is>
      </c>
      <c r="B33" t="inlineStr">
        <is>
          <t>28x FCF on $20.35 FY29 FCF/share growing 18% = $578 + $22 cum cap return = TSR +347%</t>
        </is>
      </c>
    </row>
    <row r="34">
      <c r="A34" t="inlineStr">
        <is>
          <t>Runs For Cash</t>
        </is>
      </c>
      <c r="B34" t="inlineStr">
        <is>
          <t>9x FCF on $13.77 FY29 FCF/share growing -7% = $125 + $38 cum cap return = TSR +6%</t>
        </is>
      </c>
    </row>
    <row r="35">
      <c r="A35" t="inlineStr">
        <is>
          <t>What Goes Wrong</t>
        </is>
      </c>
      <c r="B35" t="inlineStr">
        <is>
          <t>7x FCF on $8.38 FY29 FCF/share growing -9% = $75 + $15 cum cap return = TSR -40%</t>
        </is>
      </c>
    </row>
    <row r="37">
      <c r="A37" s="3" t="inlineStr">
        <is>
          <t>Unit-economics at a glance (formula-linked to Assumptions)</t>
        </is>
      </c>
    </row>
    <row r="38">
      <c r="A38" s="4" t="inlineStr">
        <is>
          <t>Scenario / driver</t>
        </is>
      </c>
      <c r="B38" s="4" t="inlineStr">
        <is>
          <t>Year</t>
        </is>
      </c>
      <c r="C38" s="4" t="inlineStr">
        <is>
          <t>FY27</t>
        </is>
      </c>
      <c r="D38" s="4" t="inlineStr">
        <is>
          <t>FY28</t>
        </is>
      </c>
      <c r="E38" s="4" t="inlineStr">
        <is>
          <t>FY29</t>
        </is>
      </c>
      <c r="F38" s="4" t="inlineStr">
        <is>
          <t>FY30</t>
        </is>
      </c>
    </row>
    <row r="39">
      <c r="A39" s="3" t="inlineStr">
        <is>
          <t>AI Winner</t>
        </is>
      </c>
    </row>
    <row r="40">
      <c r="A40" t="inlineStr">
        <is>
          <t xml:space="preserve">  HCM seats served (M)</t>
        </is>
      </c>
      <c r="C40" s="11">
        <f>Assumptions!C70</f>
        <v/>
      </c>
      <c r="D40" s="11">
        <f>Assumptions!D70</f>
        <v/>
      </c>
      <c r="E40" s="11">
        <f>Assumptions!E70</f>
        <v/>
      </c>
      <c r="F40" s="11">
        <f>Assumptions!F70</f>
        <v/>
      </c>
    </row>
    <row r="41">
      <c r="A41" t="inlineStr">
        <is>
          <t xml:space="preserve">  HCM blended PEPM ($/mo)</t>
        </is>
      </c>
      <c r="C41" s="6">
        <f>Assumptions!C74</f>
        <v/>
      </c>
      <c r="D41" s="6">
        <f>Assumptions!D74</f>
        <v/>
      </c>
      <c r="E41" s="6">
        <f>Assumptions!E74</f>
        <v/>
      </c>
      <c r="F41" s="6">
        <f>Assumptions!F74</f>
        <v/>
      </c>
    </row>
    <row r="42">
      <c r="A42" s="2" t="inlineStr">
        <is>
          <t xml:space="preserve">  HCM revenue ($M)</t>
        </is>
      </c>
      <c r="C42" s="12">
        <f>Assumptions!C70*Assumptions!C74*12</f>
        <v/>
      </c>
      <c r="D42" s="12">
        <f>Assumptions!D70*Assumptions!D74*12</f>
        <v/>
      </c>
      <c r="E42" s="12">
        <f>Assumptions!E70*Assumptions!E74*12</f>
        <v/>
      </c>
      <c r="F42" s="12">
        <f>Assumptions!F70*Assumptions!F74*12</f>
        <v/>
      </c>
    </row>
    <row r="43">
      <c r="A43" t="inlineStr">
        <is>
          <t xml:space="preserve">  Financials customers (#)</t>
        </is>
      </c>
      <c r="C43" s="13">
        <f>Assumptions!C82</f>
        <v/>
      </c>
      <c r="D43" s="13">
        <f>Assumptions!D82</f>
        <v/>
      </c>
      <c r="E43" s="13">
        <f>Assumptions!E82</f>
        <v/>
      </c>
      <c r="F43" s="13">
        <f>Assumptions!F82</f>
        <v/>
      </c>
    </row>
    <row r="44">
      <c r="A44" t="inlineStr">
        <is>
          <t xml:space="preserve">  Financials ARPC ($k/yr)</t>
        </is>
      </c>
      <c r="C44" s="8">
        <f>Assumptions!C86</f>
        <v/>
      </c>
      <c r="D44" s="8">
        <f>Assumptions!D86</f>
        <v/>
      </c>
      <c r="E44" s="8">
        <f>Assumptions!E86</f>
        <v/>
      </c>
      <c r="F44" s="8">
        <f>Assumptions!F86</f>
        <v/>
      </c>
    </row>
    <row r="45">
      <c r="A45" s="2" t="inlineStr">
        <is>
          <t xml:space="preserve">  Financials revenue ($M)</t>
        </is>
      </c>
      <c r="C45" s="12">
        <f>Assumptions!C82*Assumptions!C86/1000</f>
        <v/>
      </c>
      <c r="D45" s="12">
        <f>Assumptions!D82*Assumptions!D86/1000</f>
        <v/>
      </c>
      <c r="E45" s="12">
        <f>Assumptions!E82*Assumptions!E86/1000</f>
        <v/>
      </c>
      <c r="F45" s="12">
        <f>Assumptions!F82*Assumptions!F86/1000</f>
        <v/>
      </c>
    </row>
    <row r="46">
      <c r="A46" t="inlineStr">
        <is>
          <t xml:space="preserve">  Sub rev / HCM seat ($/yr, incl AI)</t>
        </is>
      </c>
      <c r="C46" s="8">
        <f>(Assumptions!C70*Assumptions!C74*12+Revenue_Build!B10)*1000/Assumptions!C70</f>
        <v/>
      </c>
      <c r="D46" s="8">
        <f>(Assumptions!D70*Assumptions!D74*12+Revenue_Build!C10)*1000/Assumptions!D70</f>
        <v/>
      </c>
      <c r="E46" s="8">
        <f>(Assumptions!E70*Assumptions!E74*12+Revenue_Build!D10)*1000/Assumptions!E70</f>
        <v/>
      </c>
      <c r="F46" s="8">
        <f>(Assumptions!F70*Assumptions!F74*12+Revenue_Build!E10)*1000/Assumptions!F70</f>
        <v/>
      </c>
    </row>
    <row r="48">
      <c r="A48" s="3" t="inlineStr">
        <is>
          <t>Run For Cash</t>
        </is>
      </c>
    </row>
    <row r="49">
      <c r="A49" t="inlineStr">
        <is>
          <t xml:space="preserve">  HCM seats served (M)</t>
        </is>
      </c>
      <c r="C49" s="11">
        <f>Assumptions!C71</f>
        <v/>
      </c>
      <c r="D49" s="11">
        <f>Assumptions!D71</f>
        <v/>
      </c>
      <c r="E49" s="11">
        <f>Assumptions!E71</f>
        <v/>
      </c>
      <c r="F49" s="11">
        <f>Assumptions!F71</f>
        <v/>
      </c>
    </row>
    <row r="50">
      <c r="A50" t="inlineStr">
        <is>
          <t xml:space="preserve">  HCM blended PEPM ($/mo)</t>
        </is>
      </c>
      <c r="C50" s="6">
        <f>Assumptions!C75</f>
        <v/>
      </c>
      <c r="D50" s="6">
        <f>Assumptions!D75</f>
        <v/>
      </c>
      <c r="E50" s="6">
        <f>Assumptions!E75</f>
        <v/>
      </c>
      <c r="F50" s="6">
        <f>Assumptions!F75</f>
        <v/>
      </c>
    </row>
    <row r="51">
      <c r="A51" s="2" t="inlineStr">
        <is>
          <t xml:space="preserve">  HCM revenue ($M)</t>
        </is>
      </c>
      <c r="C51" s="12">
        <f>Assumptions!C71*Assumptions!C75*12</f>
        <v/>
      </c>
      <c r="D51" s="12">
        <f>Assumptions!D71*Assumptions!D75*12</f>
        <v/>
      </c>
      <c r="E51" s="12">
        <f>Assumptions!E71*Assumptions!E75*12</f>
        <v/>
      </c>
      <c r="F51" s="12">
        <f>Assumptions!F71*Assumptions!F75*12</f>
        <v/>
      </c>
    </row>
    <row r="52">
      <c r="A52" t="inlineStr">
        <is>
          <t xml:space="preserve">  Financials customers (#)</t>
        </is>
      </c>
      <c r="C52" s="13">
        <f>Assumptions!C83</f>
        <v/>
      </c>
      <c r="D52" s="13">
        <f>Assumptions!D83</f>
        <v/>
      </c>
      <c r="E52" s="13">
        <f>Assumptions!E83</f>
        <v/>
      </c>
      <c r="F52" s="13">
        <f>Assumptions!F83</f>
        <v/>
      </c>
    </row>
    <row r="53">
      <c r="A53" t="inlineStr">
        <is>
          <t xml:space="preserve">  Financials ARPC ($k/yr)</t>
        </is>
      </c>
      <c r="C53" s="8">
        <f>Assumptions!C87</f>
        <v/>
      </c>
      <c r="D53" s="8">
        <f>Assumptions!D87</f>
        <v/>
      </c>
      <c r="E53" s="8">
        <f>Assumptions!E87</f>
        <v/>
      </c>
      <c r="F53" s="8">
        <f>Assumptions!F87</f>
        <v/>
      </c>
    </row>
    <row r="54">
      <c r="A54" s="2" t="inlineStr">
        <is>
          <t xml:space="preserve">  Financials revenue ($M)</t>
        </is>
      </c>
      <c r="C54" s="12">
        <f>Assumptions!C83*Assumptions!C87/1000</f>
        <v/>
      </c>
      <c r="D54" s="12">
        <f>Assumptions!D83*Assumptions!D87/1000</f>
        <v/>
      </c>
      <c r="E54" s="12">
        <f>Assumptions!E83*Assumptions!E87/1000</f>
        <v/>
      </c>
      <c r="F54" s="12">
        <f>Assumptions!F83*Assumptions!F87/1000</f>
        <v/>
      </c>
    </row>
    <row r="55">
      <c r="A55" t="inlineStr">
        <is>
          <t xml:space="preserve">  Sub rev / HCM seat ($/yr, incl AI)</t>
        </is>
      </c>
      <c r="C55" s="8">
        <f>(Assumptions!C71*Assumptions!C75*12+Revenue_Build!B30)*1000/Assumptions!C71</f>
        <v/>
      </c>
      <c r="D55" s="8">
        <f>(Assumptions!D71*Assumptions!D75*12+Revenue_Build!C30)*1000/Assumptions!D71</f>
        <v/>
      </c>
      <c r="E55" s="8">
        <f>(Assumptions!E71*Assumptions!E75*12+Revenue_Build!D30)*1000/Assumptions!E71</f>
        <v/>
      </c>
      <c r="F55" s="8">
        <f>(Assumptions!F71*Assumptions!F75*12+Revenue_Build!E30)*1000/Assumptions!F71</f>
        <v/>
      </c>
    </row>
    <row r="57">
      <c r="A57" s="3" t="inlineStr">
        <is>
          <t>What Goes Wrong</t>
        </is>
      </c>
    </row>
    <row r="58">
      <c r="A58" t="inlineStr">
        <is>
          <t xml:space="preserve">  HCM seats served (M)</t>
        </is>
      </c>
      <c r="C58" s="11">
        <f>Assumptions!C72</f>
        <v/>
      </c>
      <c r="D58" s="11">
        <f>Assumptions!D72</f>
        <v/>
      </c>
      <c r="E58" s="11">
        <f>Assumptions!E72</f>
        <v/>
      </c>
      <c r="F58" s="11">
        <f>Assumptions!F72</f>
        <v/>
      </c>
    </row>
    <row r="59">
      <c r="A59" t="inlineStr">
        <is>
          <t xml:space="preserve">  HCM blended PEPM ($/mo)</t>
        </is>
      </c>
      <c r="C59" s="6">
        <f>Assumptions!C76</f>
        <v/>
      </c>
      <c r="D59" s="6">
        <f>Assumptions!D76</f>
        <v/>
      </c>
      <c r="E59" s="6">
        <f>Assumptions!E76</f>
        <v/>
      </c>
      <c r="F59" s="6">
        <f>Assumptions!F76</f>
        <v/>
      </c>
    </row>
    <row r="60">
      <c r="A60" s="2" t="inlineStr">
        <is>
          <t xml:space="preserve">  HCM revenue ($M)</t>
        </is>
      </c>
      <c r="C60" s="12">
        <f>Assumptions!C72*Assumptions!C76*12</f>
        <v/>
      </c>
      <c r="D60" s="12">
        <f>Assumptions!D72*Assumptions!D76*12</f>
        <v/>
      </c>
      <c r="E60" s="12">
        <f>Assumptions!E72*Assumptions!E76*12</f>
        <v/>
      </c>
      <c r="F60" s="12">
        <f>Assumptions!F72*Assumptions!F76*12</f>
        <v/>
      </c>
    </row>
    <row r="61">
      <c r="A61" t="inlineStr">
        <is>
          <t xml:space="preserve">  Financials customers (#)</t>
        </is>
      </c>
      <c r="C61" s="13">
        <f>Assumptions!C84</f>
        <v/>
      </c>
      <c r="D61" s="13">
        <f>Assumptions!D84</f>
        <v/>
      </c>
      <c r="E61" s="13">
        <f>Assumptions!E84</f>
        <v/>
      </c>
      <c r="F61" s="13">
        <f>Assumptions!F84</f>
        <v/>
      </c>
    </row>
    <row r="62">
      <c r="A62" t="inlineStr">
        <is>
          <t xml:space="preserve">  Financials ARPC ($k/yr)</t>
        </is>
      </c>
      <c r="C62" s="8">
        <f>Assumptions!C88</f>
        <v/>
      </c>
      <c r="D62" s="8">
        <f>Assumptions!D88</f>
        <v/>
      </c>
      <c r="E62" s="8">
        <f>Assumptions!E88</f>
        <v/>
      </c>
      <c r="F62" s="8">
        <f>Assumptions!F88</f>
        <v/>
      </c>
    </row>
    <row r="63">
      <c r="A63" s="2" t="inlineStr">
        <is>
          <t xml:space="preserve">  Financials revenue ($M)</t>
        </is>
      </c>
      <c r="C63" s="12">
        <f>Assumptions!C84*Assumptions!C88/1000</f>
        <v/>
      </c>
      <c r="D63" s="12">
        <f>Assumptions!D84*Assumptions!D88/1000</f>
        <v/>
      </c>
      <c r="E63" s="12">
        <f>Assumptions!E84*Assumptions!E88/1000</f>
        <v/>
      </c>
      <c r="F63" s="12">
        <f>Assumptions!F84*Assumptions!F88/1000</f>
        <v/>
      </c>
    </row>
    <row r="64">
      <c r="A64" t="inlineStr">
        <is>
          <t xml:space="preserve">  Sub rev / HCM seat ($/yr, incl AI)</t>
        </is>
      </c>
      <c r="C64" s="8">
        <f>(Assumptions!C72*Assumptions!C76*12+Revenue_Build!B50)*1000/Assumptions!C72</f>
        <v/>
      </c>
      <c r="D64" s="8">
        <f>(Assumptions!D72*Assumptions!D76*12+Revenue_Build!C50)*1000/Assumptions!D72</f>
        <v/>
      </c>
      <c r="E64" s="8">
        <f>(Assumptions!E72*Assumptions!E76*12+Revenue_Build!D50)*1000/Assumptions!E72</f>
        <v/>
      </c>
      <c r="F64" s="8">
        <f>(Assumptions!F72*Assumptions!F76*12+Revenue_Build!E50)*1000/Assumptions!F72</f>
        <v/>
      </c>
    </row>
  </sheetData>
  <mergeCells count="3">
    <mergeCell ref="B35:H35"/>
    <mergeCell ref="B34:H34"/>
    <mergeCell ref="B33:H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14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14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10" t="n">
        <v>0.1056</v>
      </c>
      <c r="D11" s="10" t="n">
        <v>0.1667</v>
      </c>
      <c r="E11" s="10" t="n">
        <v>0.1843</v>
      </c>
      <c r="F11" s="10" t="n">
        <v>0.1671</v>
      </c>
    </row>
    <row r="12">
      <c r="A12" t="inlineStr">
        <is>
          <t>Revenue growth %</t>
        </is>
      </c>
      <c r="B12" t="inlineStr">
        <is>
          <t>Run For Cash</t>
        </is>
      </c>
      <c r="C12" s="10" t="n">
        <v>0.0252</v>
      </c>
      <c r="D12" s="10" t="n">
        <v>-0.0328</v>
      </c>
      <c r="E12" s="10" t="n">
        <v>-0.0687</v>
      </c>
      <c r="F12" s="10" t="n">
        <v>-0.08</v>
      </c>
    </row>
    <row r="13">
      <c r="A13" t="inlineStr">
        <is>
          <t>Revenue growth %</t>
        </is>
      </c>
      <c r="B13" t="inlineStr">
        <is>
          <t>Bear</t>
        </is>
      </c>
      <c r="C13" s="10" t="n">
        <v>-0.0215</v>
      </c>
      <c r="D13" s="10" t="n">
        <v>-0.0795</v>
      </c>
      <c r="E13" s="10" t="n">
        <v>-0.09320000000000001</v>
      </c>
      <c r="F13" s="10" t="n">
        <v>-0.1015</v>
      </c>
    </row>
    <row r="15">
      <c r="A15" t="inlineStr">
        <is>
          <t>Backlog growth %</t>
        </is>
      </c>
      <c r="B15" t="inlineStr">
        <is>
          <t>AI Winner</t>
        </is>
      </c>
      <c r="C15" s="10" t="n">
        <v>0.16</v>
      </c>
      <c r="D15" s="10" t="n">
        <v>0.1801</v>
      </c>
      <c r="E15" s="10" t="n">
        <v>0.19</v>
      </c>
      <c r="F15" s="10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10" t="n">
        <v>-0.04</v>
      </c>
      <c r="D16" s="10" t="n">
        <v>-0.09</v>
      </c>
      <c r="E16" s="10" t="n">
        <v>-0.1</v>
      </c>
      <c r="F16" s="10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10" t="n">
        <v>-0.05</v>
      </c>
      <c r="D17" s="10" t="n">
        <v>-0.1</v>
      </c>
      <c r="E17" s="10" t="n">
        <v>-0.11</v>
      </c>
      <c r="F17" s="10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10" t="n">
        <v>0.2541</v>
      </c>
      <c r="D19" s="10" t="n">
        <v>0.2502</v>
      </c>
      <c r="E19" s="10" t="n">
        <v>0.2444</v>
      </c>
      <c r="F19" s="10" t="n">
        <v>0.2344</v>
      </c>
    </row>
    <row r="20">
      <c r="A20" t="inlineStr">
        <is>
          <t>Cost of rev (% rev)</t>
        </is>
      </c>
      <c r="B20" t="inlineStr">
        <is>
          <t>Run For Cash</t>
        </is>
      </c>
      <c r="C20" s="10" t="n">
        <v>0.255</v>
      </c>
      <c r="D20" s="10" t="n">
        <v>0.255</v>
      </c>
      <c r="E20" s="10" t="n">
        <v>0.2551</v>
      </c>
      <c r="F20" s="10" t="n">
        <v>0.2525</v>
      </c>
    </row>
    <row r="21">
      <c r="A21" t="inlineStr">
        <is>
          <t>Cost of rev (% rev)</t>
        </is>
      </c>
      <c r="B21" t="inlineStr">
        <is>
          <t>Bear</t>
        </is>
      </c>
      <c r="C21" s="10" t="n">
        <v>0.2556</v>
      </c>
      <c r="D21" s="10" t="n">
        <v>0.2562</v>
      </c>
      <c r="E21" s="10" t="n">
        <v>0.2581</v>
      </c>
      <c r="F21" s="10" t="n">
        <v>0.2578</v>
      </c>
    </row>
    <row r="23">
      <c r="A23" t="inlineStr">
        <is>
          <t>R&amp;D (% rev)</t>
        </is>
      </c>
      <c r="B23" t="inlineStr">
        <is>
          <t>AI Winner</t>
        </is>
      </c>
      <c r="C23" s="10" t="n">
        <v>0.26</v>
      </c>
      <c r="D23" s="10" t="n">
        <v>0.25</v>
      </c>
      <c r="E23" s="10" t="n">
        <v>0.24</v>
      </c>
      <c r="F23" s="10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10" t="n">
        <v>0.24</v>
      </c>
      <c r="D24" s="10" t="n">
        <v>0.2</v>
      </c>
      <c r="E24" s="10" t="n">
        <v>0.16</v>
      </c>
      <c r="F24" s="10" t="n">
        <v>0.13</v>
      </c>
    </row>
    <row r="25">
      <c r="A25" t="inlineStr">
        <is>
          <t>R&amp;D (% rev)</t>
        </is>
      </c>
      <c r="B25" t="inlineStr">
        <is>
          <t>Bear</t>
        </is>
      </c>
      <c r="C25" s="10" t="n">
        <v>0.26</v>
      </c>
      <c r="D25" s="10" t="n">
        <v>0.23</v>
      </c>
      <c r="E25" s="10" t="n">
        <v>0.1999</v>
      </c>
      <c r="F25" s="10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10" t="n">
        <v>0.25</v>
      </c>
      <c r="D27" s="10" t="n">
        <v>0.23</v>
      </c>
      <c r="E27" s="10" t="n">
        <v>0.21</v>
      </c>
      <c r="F27" s="10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10" t="n">
        <v>0.22</v>
      </c>
      <c r="D28" s="10" t="n">
        <v>0.17</v>
      </c>
      <c r="E28" s="10" t="n">
        <v>0.13</v>
      </c>
      <c r="F28" s="10" t="n">
        <v>0.0999</v>
      </c>
    </row>
    <row r="29">
      <c r="A29" t="inlineStr">
        <is>
          <t>S&amp;M (% rev)</t>
        </is>
      </c>
      <c r="B29" t="inlineStr">
        <is>
          <t>Bear</t>
        </is>
      </c>
      <c r="C29" s="10" t="n">
        <v>0.24</v>
      </c>
      <c r="D29" s="10" t="n">
        <v>0.21</v>
      </c>
      <c r="E29" s="10" t="n">
        <v>0.18</v>
      </c>
      <c r="F29" s="10" t="n">
        <v>0.1601</v>
      </c>
    </row>
    <row r="31">
      <c r="A31" t="inlineStr">
        <is>
          <t>G&amp;A (% rev)</t>
        </is>
      </c>
      <c r="B31" t="inlineStr">
        <is>
          <t>AI Winner</t>
        </is>
      </c>
      <c r="C31" s="10" t="n">
        <v>0.09</v>
      </c>
      <c r="D31" s="10" t="n">
        <v>0.08500000000000001</v>
      </c>
      <c r="E31" s="10" t="n">
        <v>0.08</v>
      </c>
      <c r="F31" s="10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10" t="n">
        <v>0.08</v>
      </c>
      <c r="D32" s="10" t="n">
        <v>0.07000000000000001</v>
      </c>
      <c r="E32" s="10" t="n">
        <v>0.06</v>
      </c>
      <c r="F32" s="10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10" t="n">
        <v>0.09</v>
      </c>
      <c r="D33" s="10" t="n">
        <v>0.08</v>
      </c>
      <c r="E33" s="10" t="n">
        <v>0.075</v>
      </c>
      <c r="F33" s="10" t="n">
        <v>0.07000000000000001</v>
      </c>
    </row>
    <row r="35">
      <c r="A35" t="inlineStr">
        <is>
          <t>SBC (% rev)</t>
        </is>
      </c>
      <c r="B35" t="inlineStr">
        <is>
          <t>AI Winner</t>
        </is>
      </c>
      <c r="C35" s="10" t="n">
        <v>0.15</v>
      </c>
      <c r="D35" s="10" t="n">
        <v>0.13</v>
      </c>
      <c r="E35" s="10" t="n">
        <v>0.12</v>
      </c>
      <c r="F35" s="10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10" t="n">
        <v>0.13</v>
      </c>
      <c r="D36" s="10" t="n">
        <v>0.08989999999999999</v>
      </c>
      <c r="E36" s="10" t="n">
        <v>0.06</v>
      </c>
      <c r="F36" s="10" t="n">
        <v>0.04</v>
      </c>
    </row>
    <row r="37">
      <c r="A37" t="inlineStr">
        <is>
          <t>SBC (% rev)</t>
        </is>
      </c>
      <c r="B37" t="inlineStr">
        <is>
          <t>Bear</t>
        </is>
      </c>
      <c r="C37" s="10" t="n">
        <v>0.15</v>
      </c>
      <c r="D37" s="10" t="n">
        <v>0.1299</v>
      </c>
      <c r="E37" s="10" t="n">
        <v>0.11</v>
      </c>
      <c r="F37" s="10" t="n">
        <v>0.1</v>
      </c>
    </row>
    <row r="39">
      <c r="A39" t="inlineStr">
        <is>
          <t>CFO margin</t>
        </is>
      </c>
      <c r="B39" t="inlineStr">
        <is>
          <t>AI Winner</t>
        </is>
      </c>
      <c r="C39" s="10" t="n">
        <v>0.33</v>
      </c>
      <c r="D39" s="10" t="n">
        <v>0.35</v>
      </c>
      <c r="E39" s="10" t="n">
        <v>0.37</v>
      </c>
      <c r="F39" s="10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10" t="n">
        <v>0.33</v>
      </c>
      <c r="D40" s="10" t="n">
        <v>0.36</v>
      </c>
      <c r="E40" s="10" t="n">
        <v>0.3599</v>
      </c>
      <c r="F40" s="10" t="n">
        <v>0.34</v>
      </c>
    </row>
    <row r="41">
      <c r="A41" t="inlineStr">
        <is>
          <t>CFO margin</t>
        </is>
      </c>
      <c r="B41" t="inlineStr">
        <is>
          <t>Bear</t>
        </is>
      </c>
      <c r="C41" s="10" t="n">
        <v>0.3</v>
      </c>
      <c r="D41" s="10" t="n">
        <v>0.3</v>
      </c>
      <c r="E41" s="10" t="n">
        <v>0.2801</v>
      </c>
      <c r="F41" s="10" t="n">
        <v>0.2601</v>
      </c>
    </row>
    <row r="43">
      <c r="A43" t="inlineStr">
        <is>
          <t>Buyback (%/yr)</t>
        </is>
      </c>
      <c r="B43" t="inlineStr">
        <is>
          <t>AI Winner</t>
        </is>
      </c>
      <c r="C43" s="10" t="n">
        <v>0.0201</v>
      </c>
      <c r="D43" s="10" t="n">
        <v>0.0198</v>
      </c>
      <c r="E43" s="10" t="n">
        <v>0.0249</v>
      </c>
      <c r="F43" s="10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10" t="n">
        <v>0.0399</v>
      </c>
      <c r="D44" s="10" t="n">
        <v>0.07000000000000001</v>
      </c>
      <c r="E44" s="10" t="n">
        <v>0.09030000000000001</v>
      </c>
      <c r="F44" s="10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10" t="n">
        <v>0.025</v>
      </c>
      <c r="D45" s="10" t="n">
        <v>0.0348</v>
      </c>
      <c r="E45" s="10" t="n">
        <v>0.04</v>
      </c>
      <c r="F45" s="10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15" t="n">
        <v>10</v>
      </c>
    </row>
    <row r="48">
      <c r="B48" t="inlineStr">
        <is>
          <t>Run For Cash</t>
        </is>
      </c>
      <c r="C48" s="15" t="n">
        <v>3.5</v>
      </c>
    </row>
    <row r="49">
      <c r="B49" t="inlineStr">
        <is>
          <t>Bear</t>
        </is>
      </c>
      <c r="C49" s="15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6" t="n">
        <v>28</v>
      </c>
    </row>
    <row r="51">
      <c r="B51" t="inlineStr">
        <is>
          <t>Run For Cash</t>
        </is>
      </c>
      <c r="C51" s="16" t="n">
        <v>9</v>
      </c>
    </row>
    <row r="52">
      <c r="B52" t="inlineStr">
        <is>
          <t>Bear</t>
        </is>
      </c>
      <c r="C52" s="16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  <row r="58">
      <c r="A58" s="3" t="inlineStr">
        <is>
          <t>Unit economics — HCM seats × PEPM / Financials customers × ARPC</t>
        </is>
      </c>
    </row>
    <row r="59">
      <c r="A59" s="2" t="inlineStr">
        <is>
          <t>Historical (FY18-FY26)</t>
        </is>
      </c>
    </row>
    <row r="60">
      <c r="A60" t="inlineStr">
        <is>
          <t>$/seats/customers</t>
        </is>
      </c>
      <c r="B60" s="17" t="inlineStr">
        <is>
          <t>FY2018</t>
        </is>
      </c>
      <c r="C60" s="17" t="inlineStr">
        <is>
          <t>FY2019</t>
        </is>
      </c>
      <c r="D60" s="17" t="inlineStr">
        <is>
          <t>FY2020</t>
        </is>
      </c>
      <c r="E60" s="17" t="inlineStr">
        <is>
          <t>FY2021</t>
        </is>
      </c>
      <c r="F60" s="17" t="inlineStr">
        <is>
          <t>FY2022</t>
        </is>
      </c>
      <c r="G60" s="17" t="inlineStr">
        <is>
          <t>FY2023</t>
        </is>
      </c>
      <c r="H60" s="17" t="inlineStr">
        <is>
          <t>FY2024</t>
        </is>
      </c>
      <c r="I60" s="17" t="inlineStr">
        <is>
          <t>FY2025</t>
        </is>
      </c>
      <c r="J60" s="17" t="inlineStr">
        <is>
          <t>FY2026</t>
        </is>
      </c>
    </row>
    <row r="61">
      <c r="A61" t="inlineStr">
        <is>
          <t>HCM seats (M)</t>
        </is>
      </c>
      <c r="B61" s="11" t="n">
        <v>18.5</v>
      </c>
      <c r="C61" s="11" t="n">
        <v>22</v>
      </c>
      <c r="D61" s="11" t="n">
        <v>26</v>
      </c>
      <c r="E61" s="11" t="n">
        <v>29.5</v>
      </c>
      <c r="F61" s="11" t="n">
        <v>34</v>
      </c>
      <c r="G61" s="11" t="n">
        <v>40</v>
      </c>
      <c r="H61" s="11" t="n">
        <v>47</v>
      </c>
      <c r="I61" s="11" t="n">
        <v>53</v>
      </c>
      <c r="J61" s="11" t="n">
        <v>60</v>
      </c>
    </row>
    <row r="62">
      <c r="A62" t="inlineStr">
        <is>
          <t>HCM PEPM ($/mo)</t>
        </is>
      </c>
      <c r="B62" s="6" t="n">
        <v>8.74</v>
      </c>
      <c r="C62" s="6" t="n">
        <v>9.44</v>
      </c>
      <c r="D62" s="6" t="n">
        <v>9.800000000000001</v>
      </c>
      <c r="E62" s="6" t="n">
        <v>9.880000000000001</v>
      </c>
      <c r="F62" s="6" t="n">
        <v>10.17</v>
      </c>
      <c r="G62" s="6" t="n">
        <v>10.29</v>
      </c>
      <c r="H62" s="6" t="n">
        <v>9.130000000000001</v>
      </c>
      <c r="I62" s="6" t="n">
        <v>9.24</v>
      </c>
      <c r="J62" s="6" t="n">
        <v>7.82</v>
      </c>
    </row>
    <row r="63">
      <c r="A63" s="2" t="inlineStr">
        <is>
          <t>HCM revenue implied ($M) = seats × PEPM × 12</t>
        </is>
      </c>
      <c r="B63" s="13">
        <f>B61*B62*12</f>
        <v/>
      </c>
      <c r="C63" s="13">
        <f>C61*C62*12</f>
        <v/>
      </c>
      <c r="D63" s="13">
        <f>D61*D62*12</f>
        <v/>
      </c>
      <c r="E63" s="13">
        <f>E61*E62*12</f>
        <v/>
      </c>
      <c r="F63" s="13">
        <f>F61*F62*12</f>
        <v/>
      </c>
      <c r="G63" s="13">
        <f>G61*G62*12</f>
        <v/>
      </c>
      <c r="H63" s="13">
        <f>H61*H62*12</f>
        <v/>
      </c>
      <c r="I63" s="13">
        <f>I61*I62*12</f>
        <v/>
      </c>
      <c r="J63" s="13">
        <f>J61*J62*12</f>
        <v/>
      </c>
    </row>
    <row r="64">
      <c r="A64" t="inlineStr">
        <is>
          <t>Financials customers (#)</t>
        </is>
      </c>
      <c r="B64" s="13" t="n">
        <v>380</v>
      </c>
      <c r="C64" s="13" t="n">
        <v>490</v>
      </c>
      <c r="D64" s="13" t="n">
        <v>620</v>
      </c>
      <c r="E64" s="13" t="n">
        <v>770</v>
      </c>
      <c r="F64" s="13" t="n">
        <v>960</v>
      </c>
      <c r="G64" s="13" t="n">
        <v>1200</v>
      </c>
      <c r="H64" s="13" t="n">
        <v>1500</v>
      </c>
      <c r="I64" s="13" t="n">
        <v>1800</v>
      </c>
      <c r="J64" s="13" t="n">
        <v>2150</v>
      </c>
    </row>
    <row r="65">
      <c r="A65" t="inlineStr">
        <is>
          <t>Financials ARPC ($k/yr)</t>
        </is>
      </c>
      <c r="B65" s="8" t="n">
        <v>405</v>
      </c>
      <c r="C65" s="8" t="n">
        <v>462</v>
      </c>
      <c r="D65" s="8" t="n">
        <v>528</v>
      </c>
      <c r="E65" s="8" t="n">
        <v>599</v>
      </c>
      <c r="F65" s="8" t="n">
        <v>678</v>
      </c>
      <c r="G65" s="8" t="n">
        <v>808</v>
      </c>
      <c r="H65" s="8" t="n">
        <v>969</v>
      </c>
      <c r="I65" s="8" t="n">
        <v>965</v>
      </c>
      <c r="J65" s="8" t="n">
        <v>1304</v>
      </c>
    </row>
    <row r="66">
      <c r="A66" s="2" t="inlineStr">
        <is>
          <t>Financials revenue implied ($M) = customers × ARPC / 1000</t>
        </is>
      </c>
      <c r="B66" s="13">
        <f>B64*B65/1000</f>
        <v/>
      </c>
      <c r="C66" s="13">
        <f>C64*C65/1000</f>
        <v/>
      </c>
      <c r="D66" s="13">
        <f>D64*D65/1000</f>
        <v/>
      </c>
      <c r="E66" s="13">
        <f>E64*E65/1000</f>
        <v/>
      </c>
      <c r="F66" s="13">
        <f>F64*F65/1000</f>
        <v/>
      </c>
      <c r="G66" s="13">
        <f>G64*G65/1000</f>
        <v/>
      </c>
      <c r="H66" s="13">
        <f>H64*H65/1000</f>
        <v/>
      </c>
      <c r="I66" s="13">
        <f>I64*I65/1000</f>
        <v/>
      </c>
      <c r="J66" s="13">
        <f>J64*J65/1000</f>
        <v/>
      </c>
    </row>
    <row r="68">
      <c r="A68" s="2" t="inlineStr">
        <is>
          <t>Forecast (FY27-FY30) per scenario</t>
        </is>
      </c>
    </row>
    <row r="69">
      <c r="A69" t="inlineStr">
        <is>
          <t>$/seats/customers</t>
        </is>
      </c>
      <c r="B69" s="2" t="inlineStr">
        <is>
          <t>Scenario</t>
        </is>
      </c>
      <c r="C69" s="17" t="inlineStr">
        <is>
          <t>FY2027</t>
        </is>
      </c>
      <c r="D69" s="17" t="inlineStr">
        <is>
          <t>FY2028</t>
        </is>
      </c>
      <c r="E69" s="17" t="inlineStr">
        <is>
          <t>FY2029</t>
        </is>
      </c>
      <c r="F69" s="17" t="inlineStr">
        <is>
          <t>FY2030</t>
        </is>
      </c>
    </row>
    <row r="70">
      <c r="A70" t="inlineStr">
        <is>
          <t>HCM seats (M)</t>
        </is>
      </c>
      <c r="B70" t="inlineStr">
        <is>
          <t>AI Winner</t>
        </is>
      </c>
      <c r="C70" s="11" t="n">
        <v>62</v>
      </c>
      <c r="D70" s="11" t="n">
        <v>64</v>
      </c>
      <c r="E70" s="11" t="n">
        <v>66</v>
      </c>
      <c r="F70" s="11" t="n">
        <v>68</v>
      </c>
    </row>
    <row r="71">
      <c r="A71" t="inlineStr">
        <is>
          <t>HCM seats (M)</t>
        </is>
      </c>
      <c r="B71" t="inlineStr">
        <is>
          <t>Run For Cash</t>
        </is>
      </c>
      <c r="C71" s="11" t="n">
        <v>61.5</v>
      </c>
      <c r="D71" s="11" t="n">
        <v>60.5</v>
      </c>
      <c r="E71" s="11" t="n">
        <v>58.5</v>
      </c>
      <c r="F71" s="11" t="n">
        <v>56</v>
      </c>
    </row>
    <row r="72">
      <c r="A72" t="inlineStr">
        <is>
          <t>HCM seats (M)</t>
        </is>
      </c>
      <c r="B72" t="inlineStr">
        <is>
          <t>What Goes Wrong</t>
        </is>
      </c>
      <c r="C72" s="11" t="n">
        <v>60</v>
      </c>
      <c r="D72" s="11" t="n">
        <v>57</v>
      </c>
      <c r="E72" s="11" t="n">
        <v>54</v>
      </c>
      <c r="F72" s="11" t="n">
        <v>51</v>
      </c>
    </row>
    <row r="74">
      <c r="A74" t="inlineStr">
        <is>
          <t>HCM PEPM ($/mo)</t>
        </is>
      </c>
      <c r="B74" t="inlineStr">
        <is>
          <t>AI Winner</t>
        </is>
      </c>
      <c r="C74" s="6" t="n">
        <v>7.97</v>
      </c>
      <c r="D74" s="6" t="n">
        <v>8.300000000000001</v>
      </c>
      <c r="E74" s="6" t="n">
        <v>8.74</v>
      </c>
      <c r="F74" s="6" t="n">
        <v>9.18</v>
      </c>
    </row>
    <row r="75">
      <c r="A75" t="inlineStr">
        <is>
          <t>HCM PEPM ($/mo)</t>
        </is>
      </c>
      <c r="B75" t="inlineStr">
        <is>
          <t>Run For Cash</t>
        </is>
      </c>
      <c r="C75" s="6" t="n">
        <v>7.95</v>
      </c>
      <c r="D75" s="6" t="n">
        <v>7.8</v>
      </c>
      <c r="E75" s="6" t="n">
        <v>7.65</v>
      </c>
      <c r="F75" s="6" t="n">
        <v>7.5</v>
      </c>
    </row>
    <row r="76">
      <c r="A76" t="inlineStr">
        <is>
          <t>HCM PEPM ($/mo)</t>
        </is>
      </c>
      <c r="B76" t="inlineStr">
        <is>
          <t>What Goes Wrong</t>
        </is>
      </c>
      <c r="C76" s="6" t="n">
        <v>7.85</v>
      </c>
      <c r="D76" s="6" t="n">
        <v>7.65</v>
      </c>
      <c r="E76" s="6" t="n">
        <v>7.4</v>
      </c>
      <c r="F76" s="6" t="n">
        <v>7.15</v>
      </c>
    </row>
    <row r="78">
      <c r="A78" t="inlineStr">
        <is>
          <t>HCM revenue implied ($M) = seats × PEPM × 12</t>
        </is>
      </c>
      <c r="B78" t="inlineStr">
        <is>
          <t>AI Winner</t>
        </is>
      </c>
      <c r="C78" s="13">
        <f>C70*C74*12</f>
        <v/>
      </c>
      <c r="D78" s="13">
        <f>D70*D74*12</f>
        <v/>
      </c>
      <c r="E78" s="13">
        <f>E70*E74*12</f>
        <v/>
      </c>
      <c r="F78" s="13">
        <f>F70*F74*12</f>
        <v/>
      </c>
    </row>
    <row r="79">
      <c r="A79" t="inlineStr">
        <is>
          <t>HCM revenue implied ($M) = seats × PEPM × 12</t>
        </is>
      </c>
      <c r="B79" t="inlineStr">
        <is>
          <t>Run For Cash</t>
        </is>
      </c>
      <c r="C79" s="13">
        <f>C71*C75*12</f>
        <v/>
      </c>
      <c r="D79" s="13">
        <f>D71*D75*12</f>
        <v/>
      </c>
      <c r="E79" s="13">
        <f>E71*E75*12</f>
        <v/>
      </c>
      <c r="F79" s="13">
        <f>F71*F75*12</f>
        <v/>
      </c>
    </row>
    <row r="80">
      <c r="A80" t="inlineStr">
        <is>
          <t>HCM revenue implied ($M) = seats × PEPM × 12</t>
        </is>
      </c>
      <c r="B80" t="inlineStr">
        <is>
          <t>What Goes Wrong</t>
        </is>
      </c>
      <c r="C80" s="13">
        <f>C72*C76*12</f>
        <v/>
      </c>
      <c r="D80" s="13">
        <f>D72*D76*12</f>
        <v/>
      </c>
      <c r="E80" s="13">
        <f>E72*E76*12</f>
        <v/>
      </c>
      <c r="F80" s="13">
        <f>F72*F76*12</f>
        <v/>
      </c>
    </row>
    <row r="82">
      <c r="A82" t="inlineStr">
        <is>
          <t>Financials customers (#)</t>
        </is>
      </c>
      <c r="B82" t="inlineStr">
        <is>
          <t>AI Winner</t>
        </is>
      </c>
      <c r="C82" s="13" t="n">
        <v>2400</v>
      </c>
      <c r="D82" s="13" t="n">
        <v>2700</v>
      </c>
      <c r="E82" s="13" t="n">
        <v>3000</v>
      </c>
      <c r="F82" s="13" t="n">
        <v>3300</v>
      </c>
    </row>
    <row r="83">
      <c r="A83" t="inlineStr">
        <is>
          <t>Financials customers (#)</t>
        </is>
      </c>
      <c r="B83" t="inlineStr">
        <is>
          <t>Run For Cash</t>
        </is>
      </c>
      <c r="C83" s="13" t="n">
        <v>2250</v>
      </c>
      <c r="D83" s="13" t="n">
        <v>2250</v>
      </c>
      <c r="E83" s="13" t="n">
        <v>2150</v>
      </c>
      <c r="F83" s="13" t="n">
        <v>2050</v>
      </c>
    </row>
    <row r="84">
      <c r="A84" t="inlineStr">
        <is>
          <t>Financials customers (#)</t>
        </is>
      </c>
      <c r="B84" t="inlineStr">
        <is>
          <t>What Goes Wrong</t>
        </is>
      </c>
      <c r="C84" s="13" t="n">
        <v>2200</v>
      </c>
      <c r="D84" s="13" t="n">
        <v>2100</v>
      </c>
      <c r="E84" s="13" t="n">
        <v>1950</v>
      </c>
      <c r="F84" s="13" t="n">
        <v>1800</v>
      </c>
    </row>
    <row r="86">
      <c r="A86" t="inlineStr">
        <is>
          <t>Financials ARPC ($k/yr)</t>
        </is>
      </c>
      <c r="B86" t="inlineStr">
        <is>
          <t>AI Winner</t>
        </is>
      </c>
      <c r="C86" s="8" t="n">
        <v>1400</v>
      </c>
      <c r="D86" s="8" t="n">
        <v>1500</v>
      </c>
      <c r="E86" s="8" t="n">
        <v>1610</v>
      </c>
      <c r="F86" s="8" t="n">
        <v>1720</v>
      </c>
    </row>
    <row r="87">
      <c r="A87" t="inlineStr">
        <is>
          <t>Financials ARPC ($k/yr)</t>
        </is>
      </c>
      <c r="B87" t="inlineStr">
        <is>
          <t>Run For Cash</t>
        </is>
      </c>
      <c r="C87" s="8" t="n">
        <v>1250</v>
      </c>
      <c r="D87" s="8" t="n">
        <v>1165</v>
      </c>
      <c r="E87" s="8" t="n">
        <v>1040</v>
      </c>
      <c r="F87" s="8" t="n">
        <v>950</v>
      </c>
    </row>
    <row r="88">
      <c r="A88" t="inlineStr">
        <is>
          <t>Financials ARPC ($k/yr)</t>
        </is>
      </c>
      <c r="B88" t="inlineStr">
        <is>
          <t>What Goes Wrong</t>
        </is>
      </c>
      <c r="C88" s="8" t="n">
        <v>1200</v>
      </c>
      <c r="D88" s="8" t="n">
        <v>1100</v>
      </c>
      <c r="E88" s="8" t="n">
        <v>1000</v>
      </c>
      <c r="F88" s="8" t="n">
        <v>920</v>
      </c>
    </row>
    <row r="90">
      <c r="A90" t="inlineStr">
        <is>
          <t>Financials revenue implied ($M) = customers × ARPC / 1000</t>
        </is>
      </c>
      <c r="B90" t="inlineStr">
        <is>
          <t>AI Winner</t>
        </is>
      </c>
      <c r="C90" s="13">
        <f>C82*C86/1000</f>
        <v/>
      </c>
      <c r="D90" s="13">
        <f>D82*D86/1000</f>
        <v/>
      </c>
      <c r="E90" s="13">
        <f>E82*E86/1000</f>
        <v/>
      </c>
      <c r="F90" s="13">
        <f>F82*F86/1000</f>
        <v/>
      </c>
    </row>
    <row r="91">
      <c r="A91" t="inlineStr">
        <is>
          <t>Financials revenue implied ($M) = customers × ARPC / 1000</t>
        </is>
      </c>
      <c r="B91" t="inlineStr">
        <is>
          <t>Run For Cash</t>
        </is>
      </c>
      <c r="C91" s="13">
        <f>C83*C87/1000</f>
        <v/>
      </c>
      <c r="D91" s="13">
        <f>D83*D87/1000</f>
        <v/>
      </c>
      <c r="E91" s="13">
        <f>E83*E87/1000</f>
        <v/>
      </c>
      <c r="F91" s="13">
        <f>F83*F87/1000</f>
        <v/>
      </c>
    </row>
    <row r="92">
      <c r="A92" t="inlineStr">
        <is>
          <t>Financials revenue implied ($M) = customers × ARPC / 1000</t>
        </is>
      </c>
      <c r="B92" t="inlineStr">
        <is>
          <t>What Goes Wrong</t>
        </is>
      </c>
      <c r="C92" s="13">
        <f>C84*C88/1000</f>
        <v/>
      </c>
      <c r="D92" s="13">
        <f>D84*D88/1000</f>
        <v/>
      </c>
      <c r="E92" s="13">
        <f>E84*E88/1000</f>
        <v/>
      </c>
      <c r="F92" s="13">
        <f>F84*F88/1000</f>
        <v/>
      </c>
    </row>
    <row r="95">
      <c r="A95" s="3" t="inlineStr">
        <is>
          <t>BS / CF driver assumptions (FY27-FY30, formulas in Forecast tabs reference here)</t>
        </is>
      </c>
    </row>
    <row r="96">
      <c r="A96" s="2" t="inlineStr">
        <is>
          <t>Driver</t>
        </is>
      </c>
      <c r="B96" s="2" t="inlineStr">
        <is>
          <t>Scope</t>
        </is>
      </c>
      <c r="C96" s="17" t="inlineStr">
        <is>
          <t>FY27</t>
        </is>
      </c>
      <c r="D96" s="17" t="inlineStr">
        <is>
          <t>FY28</t>
        </is>
      </c>
      <c r="E96" s="17" t="inlineStr">
        <is>
          <t>FY29</t>
        </is>
      </c>
      <c r="F96" s="17" t="inlineStr">
        <is>
          <t>FY30</t>
        </is>
      </c>
    </row>
    <row r="97">
      <c r="A97" t="inlineStr">
        <is>
          <t>Interest income rate (% on prior cash+sec)</t>
        </is>
      </c>
      <c r="B97" t="inlineStr">
        <is>
          <t>global</t>
        </is>
      </c>
      <c r="C97" s="18" t="n">
        <v>0.04</v>
      </c>
      <c r="D97" s="18" t="n">
        <v>0.04</v>
      </c>
      <c r="E97" s="18" t="n">
        <v>0.04</v>
      </c>
      <c r="F97" s="18" t="n">
        <v>0.04</v>
      </c>
    </row>
    <row r="98">
      <c r="A98" t="inlineStr">
        <is>
          <t>Interest expense rate (% on debt)</t>
        </is>
      </c>
      <c r="B98" t="inlineStr">
        <is>
          <t>global</t>
        </is>
      </c>
      <c r="C98" s="18" t="n">
        <v>0.035</v>
      </c>
      <c r="D98" s="18" t="n">
        <v>0.035</v>
      </c>
      <c r="E98" s="18" t="n">
        <v>0.035</v>
      </c>
      <c r="F98" s="18" t="n">
        <v>0.035</v>
      </c>
    </row>
    <row r="99">
      <c r="A99" t="inlineStr">
        <is>
          <t>Tax rate (%)</t>
        </is>
      </c>
      <c r="B99" t="inlineStr">
        <is>
          <t>global</t>
        </is>
      </c>
      <c r="C99" s="10" t="n">
        <v>0.25</v>
      </c>
      <c r="D99" s="10" t="n">
        <v>0.25</v>
      </c>
      <c r="E99" s="10" t="n">
        <v>0.25</v>
      </c>
      <c r="F99" s="10" t="n">
        <v>0.25</v>
      </c>
    </row>
    <row r="100">
      <c r="A100" t="inlineStr">
        <is>
          <t>Other amortization ($M, in opex)</t>
        </is>
      </c>
      <c r="B100" t="inlineStr">
        <is>
          <t>global</t>
        </is>
      </c>
      <c r="C100" s="13" t="n">
        <v>280</v>
      </c>
      <c r="D100" s="13" t="n">
        <v>300</v>
      </c>
      <c r="E100" s="13" t="n">
        <v>320</v>
      </c>
      <c r="F100" s="13" t="n">
        <v>340</v>
      </c>
    </row>
    <row r="101">
      <c r="A101" t="inlineStr">
        <is>
          <t>DSO (days) — AR = DSO/365 × Revenue</t>
        </is>
      </c>
      <c r="B101" t="inlineStr">
        <is>
          <t>global</t>
        </is>
      </c>
      <c r="C101" s="19" t="n">
        <v>89</v>
      </c>
      <c r="D101" s="19" t="n">
        <v>89</v>
      </c>
      <c r="E101" s="19" t="n">
        <v>89</v>
      </c>
      <c r="F101" s="19" t="n">
        <v>89</v>
      </c>
    </row>
    <row r="102">
      <c r="A102" t="inlineStr">
        <is>
          <t>Prepaid &amp; other current (% rev)</t>
        </is>
      </c>
      <c r="B102" t="inlineStr">
        <is>
          <t>global</t>
        </is>
      </c>
      <c r="C102" s="10" t="n">
        <v>0.036</v>
      </c>
      <c r="D102" s="10" t="n">
        <v>0.036</v>
      </c>
      <c r="E102" s="10" t="n">
        <v>0.036</v>
      </c>
      <c r="F102" s="10" t="n">
        <v>0.036</v>
      </c>
    </row>
    <row r="103">
      <c r="A103" t="inlineStr">
        <is>
          <t>Deferred costs current (% rev)</t>
        </is>
      </c>
      <c r="B103" t="inlineStr">
        <is>
          <t>global</t>
        </is>
      </c>
      <c r="C103" s="10" t="n">
        <v>0.032</v>
      </c>
      <c r="D103" s="10" t="n">
        <v>0.032</v>
      </c>
      <c r="E103" s="10" t="n">
        <v>0.032</v>
      </c>
      <c r="F103" s="10" t="n">
        <v>0.032</v>
      </c>
    </row>
    <row r="104">
      <c r="A104" t="inlineStr">
        <is>
          <t>Deferred costs NC (% rev)</t>
        </is>
      </c>
      <c r="B104" t="inlineStr">
        <is>
          <t>global</t>
        </is>
      </c>
      <c r="C104" s="10" t="n">
        <v>0.066</v>
      </c>
      <c r="D104" s="10" t="n">
        <v>0.066</v>
      </c>
      <c r="E104" s="10" t="n">
        <v>0.066</v>
      </c>
      <c r="F104" s="10" t="n">
        <v>0.066</v>
      </c>
    </row>
    <row r="105">
      <c r="A105" t="inlineStr">
        <is>
          <t>Accounts payable (% rev)</t>
        </is>
      </c>
      <c r="B105" t="inlineStr">
        <is>
          <t>global</t>
        </is>
      </c>
      <c r="C105" s="10" t="n">
        <v>0.015</v>
      </c>
      <c r="D105" s="10" t="n">
        <v>0.015</v>
      </c>
      <c r="E105" s="10" t="n">
        <v>0.015</v>
      </c>
      <c r="F105" s="10" t="n">
        <v>0.015</v>
      </c>
    </row>
    <row r="106">
      <c r="A106" t="inlineStr">
        <is>
          <t>Accrued compensation (% rev)</t>
        </is>
      </c>
      <c r="B106" t="inlineStr">
        <is>
          <t>global</t>
        </is>
      </c>
      <c r="C106" s="10" t="n">
        <v>0.068</v>
      </c>
      <c r="D106" s="10" t="n">
        <v>0.068</v>
      </c>
      <c r="E106" s="10" t="n">
        <v>0.068</v>
      </c>
      <c r="F106" s="10" t="n">
        <v>0.068</v>
      </c>
    </row>
    <row r="107">
      <c r="A107" t="inlineStr">
        <is>
          <t>Accrued other (% rev)</t>
        </is>
      </c>
      <c r="B107" t="inlineStr">
        <is>
          <t>global</t>
        </is>
      </c>
      <c r="C107" s="10" t="n">
        <v>0.048</v>
      </c>
      <c r="D107" s="10" t="n">
        <v>0.048</v>
      </c>
      <c r="E107" s="10" t="n">
        <v>0.048</v>
      </c>
      <c r="F107" s="10" t="n">
        <v>0.048</v>
      </c>
    </row>
    <row r="108">
      <c r="A108" t="inlineStr">
        <is>
          <t>Deferred rev current (% sub rev)</t>
        </is>
      </c>
      <c r="B108" t="inlineStr">
        <is>
          <t>global</t>
        </is>
      </c>
      <c r="C108" s="10" t="n">
        <v>0.525</v>
      </c>
      <c r="D108" s="10" t="n">
        <v>0.525</v>
      </c>
      <c r="E108" s="10" t="n">
        <v>0.525</v>
      </c>
      <c r="F108" s="10" t="n">
        <v>0.525</v>
      </c>
    </row>
    <row r="109">
      <c r="A109" t="inlineStr">
        <is>
          <t>Intangibles amort ($M/yr)</t>
        </is>
      </c>
      <c r="B109" t="inlineStr">
        <is>
          <t>global</t>
        </is>
      </c>
      <c r="C109" s="13" t="n">
        <v>100</v>
      </c>
      <c r="D109" s="13" t="n">
        <v>100</v>
      </c>
      <c r="E109" s="13" t="n">
        <v>100</v>
      </c>
      <c r="F109" s="13" t="n">
        <v>100</v>
      </c>
    </row>
    <row r="110">
      <c r="A110" t="inlineStr">
        <is>
          <t>Capex ($M)</t>
        </is>
      </c>
      <c r="B110" t="inlineStr">
        <is>
          <t>AI Winner</t>
        </is>
      </c>
      <c r="C110" s="13" t="n">
        <v>211</v>
      </c>
      <c r="D110" s="13" t="n">
        <v>246</v>
      </c>
      <c r="E110" s="13" t="n">
        <v>292</v>
      </c>
      <c r="F110" s="13" t="n">
        <v>341</v>
      </c>
    </row>
    <row r="111">
      <c r="A111" t="inlineStr">
        <is>
          <t>Capex ($M)</t>
        </is>
      </c>
      <c r="B111" t="inlineStr">
        <is>
          <t>Run For Cash</t>
        </is>
      </c>
      <c r="C111" s="13" t="n">
        <v>202</v>
      </c>
      <c r="D111" s="13" t="n">
        <v>219</v>
      </c>
      <c r="E111" s="13" t="n">
        <v>238</v>
      </c>
      <c r="F111" s="13" t="n">
        <v>257</v>
      </c>
    </row>
    <row r="112">
      <c r="A112" t="inlineStr">
        <is>
          <t>Capex ($M)</t>
        </is>
      </c>
      <c r="B112" t="inlineStr">
        <is>
          <t>Bear</t>
        </is>
      </c>
      <c r="C112" s="13" t="n">
        <v>185</v>
      </c>
      <c r="D112" s="13" t="n">
        <v>195</v>
      </c>
      <c r="E112" s="13" t="n">
        <v>200</v>
      </c>
      <c r="F112" s="13" t="n">
        <v>200</v>
      </c>
    </row>
    <row r="113">
      <c r="A113" t="inlineStr">
        <is>
          <t>Depreciation ($M)</t>
        </is>
      </c>
      <c r="B113" t="inlineStr">
        <is>
          <t>AI Winner</t>
        </is>
      </c>
      <c r="C113" s="13" t="n">
        <v>237</v>
      </c>
      <c r="D113" s="13" t="n">
        <v>252</v>
      </c>
      <c r="E113" s="13" t="n">
        <v>267</v>
      </c>
      <c r="F113" s="13" t="n">
        <v>282</v>
      </c>
    </row>
    <row r="114">
      <c r="A114" t="inlineStr">
        <is>
          <t>Depreciation ($M)</t>
        </is>
      </c>
      <c r="B114" t="inlineStr">
        <is>
          <t>Run For Cash</t>
        </is>
      </c>
      <c r="C114" s="13" t="n">
        <v>230</v>
      </c>
      <c r="D114" s="13" t="n">
        <v>240</v>
      </c>
      <c r="E114" s="13" t="n">
        <v>250</v>
      </c>
      <c r="F114" s="13" t="n">
        <v>260</v>
      </c>
    </row>
    <row r="115">
      <c r="A115" t="inlineStr">
        <is>
          <t>Depreciation ($M)</t>
        </is>
      </c>
      <c r="B115" t="inlineStr">
        <is>
          <t>Bear</t>
        </is>
      </c>
      <c r="C115" s="13" t="n">
        <v>225</v>
      </c>
      <c r="D115" s="13" t="n">
        <v>230</v>
      </c>
      <c r="E115" s="13" t="n">
        <v>235</v>
      </c>
      <c r="F115" s="13" t="n">
        <v>240</v>
      </c>
    </row>
    <row r="116">
      <c r="A116" t="inlineStr">
        <is>
          <t>Dividend payout (% of FCF)</t>
        </is>
      </c>
      <c r="B116" t="inlineStr">
        <is>
          <t>global</t>
        </is>
      </c>
      <c r="C116" s="10" t="n">
        <v>0</v>
      </c>
      <c r="D116" s="10" t="n">
        <v>0</v>
      </c>
      <c r="E116" s="10" t="n">
        <v>0</v>
      </c>
      <c r="F116" s="10" t="n">
        <v>0</v>
      </c>
    </row>
    <row r="117">
      <c r="A117" t="inlineStr">
        <is>
          <t>Average buyback price ($/sh)</t>
        </is>
      </c>
      <c r="B117" t="inlineStr">
        <is>
          <t>global</t>
        </is>
      </c>
      <c r="C117" s="6" t="n">
        <v>129.34</v>
      </c>
      <c r="D117" s="6" t="n">
        <v>129.34</v>
      </c>
      <c r="E117" s="6" t="n">
        <v>129.34</v>
      </c>
      <c r="F117" s="6" t="n">
        <v>129.34</v>
      </c>
    </row>
    <row r="118">
      <c r="A118" t="inlineStr">
        <is>
          <t>Acquisitions ($M)</t>
        </is>
      </c>
      <c r="B118" t="inlineStr">
        <is>
          <t>global</t>
        </is>
      </c>
      <c r="C118" s="20" t="n">
        <v>0</v>
      </c>
      <c r="D118" s="20" t="n">
        <v>0</v>
      </c>
      <c r="E118" s="20" t="n">
        <v>0</v>
      </c>
      <c r="F118" s="20" t="n">
        <v>0</v>
      </c>
    </row>
    <row r="119">
      <c r="A119" t="inlineStr">
        <is>
          <t>Net marketable sec ($M)</t>
        </is>
      </c>
      <c r="B119" t="inlineStr">
        <is>
          <t>global</t>
        </is>
      </c>
      <c r="C119" s="20" t="n">
        <v>0</v>
      </c>
      <c r="D119" s="20" t="n">
        <v>0</v>
      </c>
      <c r="E119" s="20" t="n">
        <v>0</v>
      </c>
      <c r="F119" s="20" t="n">
        <v>0</v>
      </c>
    </row>
    <row r="120">
      <c r="A120" t="inlineStr">
        <is>
          <t>Net debt issuance ($M)</t>
        </is>
      </c>
      <c r="B120" t="inlineStr">
        <is>
          <t>global</t>
        </is>
      </c>
      <c r="C120" s="20" t="n">
        <v>0</v>
      </c>
      <c r="D120" s="20" t="n">
        <v>0</v>
      </c>
      <c r="E120" s="20" t="n">
        <v>0</v>
      </c>
      <c r="F120" s="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21" t="n"/>
      <c r="C4" s="21" t="n"/>
      <c r="D4" s="21" t="n"/>
      <c r="E4" s="21" t="n"/>
      <c r="F4" s="21" t="n"/>
      <c r="G4" s="21" t="n"/>
      <c r="H4" s="21" t="n"/>
    </row>
    <row r="5">
      <c r="A5" s="22" t="inlineStr">
        <is>
          <t>Revenue</t>
        </is>
      </c>
      <c r="B5" s="20" t="n">
        <v>4318</v>
      </c>
      <c r="C5" s="20" t="n">
        <v>5139</v>
      </c>
      <c r="D5" s="20" t="n">
        <v>6216</v>
      </c>
      <c r="E5" s="20" t="n">
        <v>7259</v>
      </c>
      <c r="F5" s="20" t="n">
        <v>8446</v>
      </c>
      <c r="G5" s="20" t="n">
        <v>9552</v>
      </c>
    </row>
    <row r="6">
      <c r="A6" s="22" t="inlineStr">
        <is>
          <t>Cost of revenue</t>
        </is>
      </c>
      <c r="B6" s="20" t="n">
        <v>1198.1</v>
      </c>
      <c r="C6" s="20" t="n">
        <v>1428</v>
      </c>
      <c r="D6" s="20" t="n">
        <v>1750</v>
      </c>
      <c r="E6" s="20" t="n">
        <v>1771</v>
      </c>
      <c r="F6" s="20" t="n">
        <v>2153</v>
      </c>
      <c r="G6" s="20" t="n">
        <v>2624</v>
      </c>
    </row>
    <row r="7">
      <c r="A7" s="23" t="inlineStr">
        <is>
          <t>Gross profit</t>
        </is>
      </c>
      <c r="B7" s="24" t="n">
        <v>3119.9</v>
      </c>
      <c r="C7" s="24" t="n">
        <v>3711</v>
      </c>
      <c r="D7" s="24" t="n">
        <v>4466</v>
      </c>
      <c r="E7" s="24" t="n">
        <v>5488</v>
      </c>
      <c r="F7" s="24" t="n">
        <v>6293</v>
      </c>
      <c r="G7" s="24" t="n">
        <v>6928</v>
      </c>
    </row>
    <row r="8">
      <c r="A8" s="22" t="inlineStr">
        <is>
          <t>R&amp;D</t>
        </is>
      </c>
      <c r="B8" s="20" t="n">
        <v>1721.2</v>
      </c>
      <c r="C8" s="20" t="n">
        <v>1879</v>
      </c>
      <c r="D8" s="20" t="n">
        <v>2247</v>
      </c>
      <c r="E8" s="20" t="n">
        <v>2464</v>
      </c>
      <c r="F8" s="20" t="n">
        <v>2626</v>
      </c>
      <c r="G8" s="20" t="n">
        <v>2679</v>
      </c>
    </row>
    <row r="9">
      <c r="A9" s="22" t="inlineStr">
        <is>
          <t>S&amp;M</t>
        </is>
      </c>
      <c r="B9" s="20" t="n">
        <v>1233.2</v>
      </c>
      <c r="C9" s="20" t="n">
        <v>1462</v>
      </c>
      <c r="D9" s="20" t="n">
        <v>1842</v>
      </c>
      <c r="E9" s="20" t="n">
        <v>2139</v>
      </c>
      <c r="F9" s="20" t="n">
        <v>2432</v>
      </c>
      <c r="G9" s="20" t="n">
        <v>2616</v>
      </c>
    </row>
    <row r="10">
      <c r="A10" s="22" t="inlineStr">
        <is>
          <t>G&amp;A</t>
        </is>
      </c>
      <c r="B10" s="20" t="n">
        <v>414.1</v>
      </c>
      <c r="C10" s="20" t="n">
        <v>486</v>
      </c>
      <c r="D10" s="20" t="n">
        <v>599</v>
      </c>
      <c r="E10" s="20" t="n">
        <v>702</v>
      </c>
      <c r="F10" s="20" t="n">
        <v>820</v>
      </c>
      <c r="G10" s="20" t="n">
        <v>912</v>
      </c>
    </row>
    <row r="11">
      <c r="A11" s="23" t="inlineStr">
        <is>
          <t>Operating income</t>
        </is>
      </c>
      <c r="B11" s="24" t="n">
        <v>-248.6</v>
      </c>
      <c r="C11" s="24" t="n">
        <v>-116</v>
      </c>
      <c r="D11" s="24" t="n">
        <v>-222</v>
      </c>
      <c r="E11" s="24" t="n">
        <v>183</v>
      </c>
      <c r="F11" s="24" t="n">
        <v>415</v>
      </c>
      <c r="G11" s="24" t="n">
        <v>721</v>
      </c>
    </row>
    <row r="12">
      <c r="A12" s="22" t="inlineStr">
        <is>
          <t>Net income (GAAP)</t>
        </is>
      </c>
      <c r="B12" s="20" t="n">
        <v>-282.4</v>
      </c>
      <c r="C12" s="20" t="n">
        <v>29</v>
      </c>
      <c r="D12" s="20" t="n">
        <v>-367</v>
      </c>
      <c r="E12" s="20" t="n">
        <v>1381</v>
      </c>
      <c r="F12" s="20" t="n">
        <v>526</v>
      </c>
      <c r="G12" s="20" t="n">
        <v>693</v>
      </c>
    </row>
    <row r="14">
      <c r="A14" s="3" t="inlineStr">
        <is>
          <t>Cash Flow</t>
        </is>
      </c>
      <c r="B14" s="21" t="n"/>
      <c r="C14" s="21" t="n"/>
      <c r="D14" s="21" t="n"/>
      <c r="E14" s="21" t="n"/>
      <c r="F14" s="21" t="n"/>
      <c r="G14" s="21" t="n"/>
      <c r="H14" s="21" t="n"/>
    </row>
    <row r="15">
      <c r="A15" s="22" t="inlineStr">
        <is>
          <t>Cash from operations</t>
        </is>
      </c>
      <c r="B15" s="20" t="n">
        <v>1268.4</v>
      </c>
      <c r="C15" s="20" t="n">
        <v>1651</v>
      </c>
      <c r="D15" s="20" t="n">
        <v>1657</v>
      </c>
      <c r="E15" s="20" t="n">
        <v>2149</v>
      </c>
      <c r="F15" s="20" t="n">
        <v>2461</v>
      </c>
      <c r="G15" s="20" t="n">
        <v>2939</v>
      </c>
    </row>
    <row r="16">
      <c r="A16" s="22" t="inlineStr">
        <is>
          <t>Capex</t>
        </is>
      </c>
      <c r="B16" s="20" t="n"/>
      <c r="C16" s="20" t="n"/>
      <c r="D16" s="20" t="n">
        <v>364</v>
      </c>
      <c r="E16" s="20" t="n">
        <v>232</v>
      </c>
      <c r="F16" s="20" t="n">
        <v>269</v>
      </c>
      <c r="G16" s="20" t="n">
        <v>162</v>
      </c>
    </row>
    <row r="17">
      <c r="A17" s="23" t="inlineStr">
        <is>
          <t>Free cash flow</t>
        </is>
      </c>
      <c r="B17" s="24" t="n">
        <v>1268.4</v>
      </c>
      <c r="C17" s="24" t="n">
        <v>1651</v>
      </c>
      <c r="D17" s="24" t="n">
        <v>1293</v>
      </c>
      <c r="E17" s="24" t="n">
        <v>1917</v>
      </c>
      <c r="F17" s="24" t="n">
        <v>2192</v>
      </c>
      <c r="G17" s="24" t="n">
        <v>2777</v>
      </c>
    </row>
    <row r="18">
      <c r="A18" s="22" t="inlineStr">
        <is>
          <t>SBC (memo)</t>
        </is>
      </c>
      <c r="B18" s="20" t="n">
        <v>1004.9</v>
      </c>
      <c r="C18" s="20" t="n">
        <v>1101</v>
      </c>
      <c r="D18" s="20" t="n">
        <v>1295</v>
      </c>
      <c r="E18" s="20" t="n">
        <v>1416</v>
      </c>
      <c r="F18" s="20" t="n">
        <v>1519</v>
      </c>
      <c r="G18" s="20" t="n">
        <v>1626</v>
      </c>
    </row>
    <row r="19">
      <c r="A19" s="23" t="inlineStr">
        <is>
          <t>FCF − SBC</t>
        </is>
      </c>
      <c r="B19" s="24" t="n">
        <v>263.5</v>
      </c>
      <c r="C19" s="24" t="n">
        <v>550</v>
      </c>
      <c r="D19" s="24" t="n">
        <v>-2</v>
      </c>
      <c r="E19" s="24" t="n">
        <v>501</v>
      </c>
      <c r="F19" s="24" t="n">
        <v>673</v>
      </c>
      <c r="G19" s="24" t="n">
        <v>1151</v>
      </c>
    </row>
    <row r="20">
      <c r="A20" s="22" t="inlineStr">
        <is>
          <t>Diluted shares (M)</t>
        </is>
      </c>
      <c r="B20" s="13" t="n">
        <v>237</v>
      </c>
      <c r="C20" s="13" t="n">
        <v>254</v>
      </c>
      <c r="D20" s="13" t="n">
        <v>254.8</v>
      </c>
      <c r="E20" s="13" t="n">
        <v>265.3</v>
      </c>
      <c r="F20" s="13" t="n">
        <v>269.2</v>
      </c>
      <c r="G20" s="13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Four-stream revenue build (HCM ARR / Financials ARR / AI ARR / Services)</t>
        </is>
      </c>
    </row>
    <row r="3">
      <c r="A3" s="2" t="inlineStr">
        <is>
          <t>FY26 base ($M):</t>
        </is>
      </c>
      <c r="B3" t="inlineStr">
        <is>
          <t>HCM $5,629  |  Financials $2,804  |  AI ARR $400  |  Services $719  |  Total $9,552</t>
        </is>
      </c>
    </row>
    <row r="5">
      <c r="A5" s="3" t="inlineStr">
        <is>
          <t>Good AI</t>
        </is>
      </c>
      <c r="B5" s="21" t="n"/>
      <c r="C5" s="21" t="n"/>
      <c r="D5" s="21" t="n"/>
      <c r="E5" s="21" t="n"/>
      <c r="F5" s="21" t="n"/>
      <c r="G5" s="21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t="inlineStr">
        <is>
          <t>HCM ARR</t>
        </is>
      </c>
      <c r="B7" s="13">
        <f>Assumptions!C70*Assumptions!C74*12</f>
        <v/>
      </c>
      <c r="C7" s="13">
        <f>Assumptions!D70*Assumptions!D74*12</f>
        <v/>
      </c>
      <c r="D7" s="13">
        <f>Assumptions!E70*Assumptions!E74*12</f>
        <v/>
      </c>
      <c r="E7" s="13">
        <f>Assumptions!F70*Assumptions!F74*12</f>
        <v/>
      </c>
    </row>
    <row r="8">
      <c r="A8" t="inlineStr">
        <is>
          <t>Financials ARR</t>
        </is>
      </c>
      <c r="B8" s="13">
        <f>Assumptions!C82*Assumptions!C86/1000</f>
        <v/>
      </c>
      <c r="C8" s="13">
        <f>Assumptions!D82*Assumptions!D86/1000</f>
        <v/>
      </c>
      <c r="D8" s="13">
        <f>Assumptions!E82*Assumptions!E86/1000</f>
        <v/>
      </c>
      <c r="E8" s="13">
        <f>Assumptions!F82*Assumptions!F86/1000</f>
        <v/>
      </c>
    </row>
    <row r="9">
      <c r="A9" s="22" t="inlineStr">
        <is>
          <t>AI ARR booked</t>
        </is>
      </c>
      <c r="B9" s="13" t="n">
        <v>800</v>
      </c>
      <c r="C9" s="13" t="n">
        <v>1440</v>
      </c>
      <c r="D9" s="13" t="n">
        <v>2304</v>
      </c>
      <c r="E9" s="13" t="n">
        <v>3226</v>
      </c>
    </row>
    <row r="10">
      <c r="A10" s="2" t="inlineStr">
        <is>
          <t>AI ARR recognized</t>
        </is>
      </c>
      <c r="B10" s="12" t="n">
        <v>560</v>
      </c>
      <c r="C10" s="12" t="n">
        <v>1200</v>
      </c>
      <c r="D10" s="12" t="n">
        <v>2143</v>
      </c>
      <c r="E10" s="12" t="n">
        <v>3152</v>
      </c>
    </row>
    <row r="11">
      <c r="A11" s="22" t="inlineStr">
        <is>
          <t>AI deferred balance</t>
        </is>
      </c>
      <c r="B11" s="20" t="n">
        <v>240</v>
      </c>
      <c r="C11" s="20" t="n">
        <v>480</v>
      </c>
      <c r="D11" s="20" t="n">
        <v>641</v>
      </c>
      <c r="E11" s="20" t="n">
        <v>714</v>
      </c>
    </row>
    <row r="12">
      <c r="A12" s="22" t="inlineStr">
        <is>
          <t>Services</t>
        </is>
      </c>
      <c r="B12" s="13" t="n">
        <v>712</v>
      </c>
      <c r="C12" s="13" t="n">
        <v>698</v>
      </c>
      <c r="D12" s="13" t="n">
        <v>698</v>
      </c>
      <c r="E12" s="13" t="n">
        <v>712</v>
      </c>
    </row>
    <row r="13">
      <c r="A13" s="2" t="inlineStr">
        <is>
          <t>Total revenue</t>
        </is>
      </c>
      <c r="B13" s="12">
        <f>B7+B8+B10+B12</f>
        <v/>
      </c>
      <c r="C13" s="12">
        <f>C7+C8+C10+C12</f>
        <v/>
      </c>
      <c r="D13" s="12">
        <f>D7+D8+D10+D12</f>
        <v/>
      </c>
      <c r="E13" s="12">
        <f>E7+E8+E10+E12</f>
        <v/>
      </c>
    </row>
    <row r="14">
      <c r="A14" t="inlineStr">
        <is>
          <t>HCM ARR GM %</t>
        </is>
      </c>
      <c r="B14" s="10" t="n">
        <v>0.84</v>
      </c>
      <c r="C14" s="10" t="n">
        <v>0.84</v>
      </c>
      <c r="D14" s="10" t="n">
        <v>0.84</v>
      </c>
      <c r="E14" s="10" t="n">
        <v>0.84</v>
      </c>
    </row>
    <row r="15">
      <c r="A15" t="inlineStr">
        <is>
          <t>Financials GM %</t>
        </is>
      </c>
      <c r="B15" s="10" t="n">
        <v>0.8</v>
      </c>
      <c r="C15" s="10" t="n">
        <v>0.8100000000000001</v>
      </c>
      <c r="D15" s="10" t="n">
        <v>0.82</v>
      </c>
      <c r="E15" s="10" t="n">
        <v>0.83</v>
      </c>
    </row>
    <row r="16">
      <c r="A16" t="inlineStr">
        <is>
          <t>AI ARR GM %</t>
        </is>
      </c>
      <c r="B16" s="10" t="n">
        <v>0.5</v>
      </c>
      <c r="C16" s="10" t="n">
        <v>0.55</v>
      </c>
      <c r="D16" s="10" t="n">
        <v>0.6</v>
      </c>
      <c r="E16" s="10" t="n">
        <v>0.65</v>
      </c>
    </row>
    <row r="17">
      <c r="A17" t="inlineStr">
        <is>
          <t>Services GM %</t>
        </is>
      </c>
      <c r="B17" s="10" t="n">
        <v>-0.1</v>
      </c>
      <c r="C17" s="10" t="n">
        <v>-0.08</v>
      </c>
      <c r="D17" s="10" t="n">
        <v>-0.05</v>
      </c>
      <c r="E17" s="10" t="n">
        <v>-0.02</v>
      </c>
    </row>
    <row r="18">
      <c r="A18" t="inlineStr">
        <is>
          <t>Blended GM %</t>
        </is>
      </c>
      <c r="B18" s="10" t="n">
        <v>0.7459</v>
      </c>
      <c r="C18" s="10" t="n">
        <v>0.7498</v>
      </c>
      <c r="D18" s="10" t="n">
        <v>0.7556</v>
      </c>
      <c r="E18" s="10" t="n">
        <v>0.7655999999999999</v>
      </c>
    </row>
    <row r="19">
      <c r="A19" s="22" t="inlineStr">
        <is>
          <t>GP HCM ARR</t>
        </is>
      </c>
      <c r="B19" s="20" t="n">
        <v>4981</v>
      </c>
      <c r="C19" s="20" t="n">
        <v>5354</v>
      </c>
      <c r="D19" s="20" t="n">
        <v>5815</v>
      </c>
      <c r="E19" s="20" t="n">
        <v>6292</v>
      </c>
    </row>
    <row r="20">
      <c r="A20" s="22" t="inlineStr">
        <is>
          <t>GP Financials</t>
        </is>
      </c>
      <c r="B20" s="20" t="n">
        <v>2688</v>
      </c>
      <c r="C20" s="20" t="n">
        <v>3280</v>
      </c>
      <c r="D20" s="20" t="n">
        <v>3961</v>
      </c>
      <c r="E20" s="20" t="n">
        <v>4711</v>
      </c>
    </row>
    <row r="21">
      <c r="A21" s="22" t="inlineStr">
        <is>
          <t>GP AI ARR</t>
        </is>
      </c>
      <c r="B21" s="20" t="n">
        <v>280</v>
      </c>
      <c r="C21" s="20" t="n">
        <v>660</v>
      </c>
      <c r="D21" s="20" t="n">
        <v>1286</v>
      </c>
      <c r="E21" s="20" t="n">
        <v>2049</v>
      </c>
    </row>
    <row r="22">
      <c r="A22" s="22" t="inlineStr">
        <is>
          <t>GP Services</t>
        </is>
      </c>
      <c r="B22" s="20" t="n">
        <v>-71</v>
      </c>
      <c r="C22" s="20" t="n">
        <v>-56</v>
      </c>
      <c r="D22" s="20" t="n">
        <v>-35</v>
      </c>
      <c r="E22" s="20" t="n">
        <v>-14</v>
      </c>
    </row>
    <row r="23">
      <c r="A23" s="2" t="inlineStr">
        <is>
          <t>Total GP</t>
        </is>
      </c>
      <c r="B23" s="24" t="n">
        <v>7878</v>
      </c>
      <c r="C23" s="24" t="n">
        <v>9239</v>
      </c>
      <c r="D23" s="24" t="n">
        <v>11026</v>
      </c>
      <c r="E23" s="24" t="n">
        <v>13038</v>
      </c>
    </row>
    <row r="25">
      <c r="A25" s="3" t="inlineStr">
        <is>
          <t>Runs For Cash</t>
        </is>
      </c>
      <c r="B25" s="21" t="n"/>
      <c r="C25" s="21" t="n"/>
      <c r="D25" s="21" t="n"/>
      <c r="E25" s="21" t="n"/>
      <c r="F25" s="21" t="n"/>
      <c r="G25" s="21" t="n"/>
    </row>
    <row r="26">
      <c r="A26" s="4" t="inlineStr">
        <is>
          <t>$M unless noted</t>
        </is>
      </c>
      <c r="B26" s="4" t="inlineStr">
        <is>
          <t>FY27</t>
        </is>
      </c>
      <c r="C26" s="4" t="inlineStr">
        <is>
          <t>FY28</t>
        </is>
      </c>
      <c r="D26" s="4" t="inlineStr">
        <is>
          <t>FY29</t>
        </is>
      </c>
      <c r="E26" s="4" t="inlineStr">
        <is>
          <t>FY30</t>
        </is>
      </c>
    </row>
    <row r="27">
      <c r="A27" t="inlineStr">
        <is>
          <t>HCM ARR</t>
        </is>
      </c>
      <c r="B27" s="13">
        <f>Assumptions!C71*Assumptions!C75*12</f>
        <v/>
      </c>
      <c r="C27" s="13">
        <f>Assumptions!D71*Assumptions!D75*12</f>
        <v/>
      </c>
      <c r="D27" s="13">
        <f>Assumptions!E71*Assumptions!E75*12</f>
        <v/>
      </c>
      <c r="E27" s="13">
        <f>Assumptions!F71*Assumptions!F75*12</f>
        <v/>
      </c>
    </row>
    <row r="28">
      <c r="A28" t="inlineStr">
        <is>
          <t>Financials ARR</t>
        </is>
      </c>
      <c r="B28" s="13">
        <f>Assumptions!C83*Assumptions!C87/1000</f>
        <v/>
      </c>
      <c r="C28" s="13">
        <f>Assumptions!D83*Assumptions!D87/1000</f>
        <v/>
      </c>
      <c r="D28" s="13">
        <f>Assumptions!E83*Assumptions!E87/1000</f>
        <v/>
      </c>
      <c r="E28" s="13">
        <f>Assumptions!F83*Assumptions!F87/1000</f>
        <v/>
      </c>
    </row>
    <row r="29">
      <c r="A29" s="22" t="inlineStr">
        <is>
          <t>AI ARR booked</t>
        </is>
      </c>
      <c r="B29" s="13" t="n">
        <v>520</v>
      </c>
      <c r="C29" s="13" t="n">
        <v>598</v>
      </c>
      <c r="D29" s="13" t="n">
        <v>628</v>
      </c>
      <c r="E29" s="13" t="n">
        <v>628</v>
      </c>
    </row>
    <row r="30">
      <c r="A30" s="2" t="inlineStr">
        <is>
          <t>AI ARR recognized</t>
        </is>
      </c>
      <c r="B30" s="12" t="n">
        <v>416</v>
      </c>
      <c r="C30" s="12" t="n">
        <v>560</v>
      </c>
      <c r="D30" s="12" t="n">
        <v>662</v>
      </c>
      <c r="E30" s="12" t="n">
        <v>641</v>
      </c>
    </row>
    <row r="31">
      <c r="A31" s="22" t="inlineStr">
        <is>
          <t>AI deferred balance</t>
        </is>
      </c>
      <c r="B31" s="20" t="n">
        <v>104</v>
      </c>
      <c r="C31" s="20" t="n">
        <v>142</v>
      </c>
      <c r="D31" s="20" t="n">
        <v>108</v>
      </c>
      <c r="E31" s="20" t="n">
        <v>94</v>
      </c>
    </row>
    <row r="32">
      <c r="A32" s="22" t="inlineStr">
        <is>
          <t>Services</t>
        </is>
      </c>
      <c r="B32" s="13" t="n">
        <v>697</v>
      </c>
      <c r="C32" s="13" t="n">
        <v>628</v>
      </c>
      <c r="D32" s="13" t="n">
        <v>552</v>
      </c>
      <c r="E32" s="13" t="n">
        <v>486</v>
      </c>
    </row>
    <row r="33">
      <c r="A33" s="2" t="inlineStr">
        <is>
          <t>Total revenue</t>
        </is>
      </c>
      <c r="B33" s="12">
        <f>B27+B28+B30+B32</f>
        <v/>
      </c>
      <c r="C33" s="12">
        <f>C27+C28+C30+C32</f>
        <v/>
      </c>
      <c r="D33" s="12">
        <f>D27+D28+D30+D32</f>
        <v/>
      </c>
      <c r="E33" s="12">
        <f>E27+E28+E30+E32</f>
        <v/>
      </c>
    </row>
    <row r="34">
      <c r="A34" t="inlineStr">
        <is>
          <t>HCM ARR GM %</t>
        </is>
      </c>
      <c r="B34" s="10" t="n">
        <v>0.84</v>
      </c>
      <c r="C34" s="10" t="n">
        <v>0.84</v>
      </c>
      <c r="D34" s="10" t="n">
        <v>0.84</v>
      </c>
      <c r="E34" s="10" t="n">
        <v>0.84</v>
      </c>
    </row>
    <row r="35">
      <c r="A35" t="inlineStr">
        <is>
          <t>Financials GM %</t>
        </is>
      </c>
      <c r="B35" s="10" t="n">
        <v>0.8</v>
      </c>
      <c r="C35" s="10" t="n">
        <v>0.8100000000000001</v>
      </c>
      <c r="D35" s="10" t="n">
        <v>0.82</v>
      </c>
      <c r="E35" s="10" t="n">
        <v>0.83</v>
      </c>
    </row>
    <row r="36">
      <c r="A36" t="inlineStr">
        <is>
          <t>AI ARR GM %</t>
        </is>
      </c>
      <c r="B36" s="10" t="n">
        <v>0.45</v>
      </c>
      <c r="C36" s="10" t="n">
        <v>0.45</v>
      </c>
      <c r="D36" s="10" t="n">
        <v>0.45</v>
      </c>
      <c r="E36" s="10" t="n">
        <v>0.45</v>
      </c>
    </row>
    <row r="37">
      <c r="A37" t="inlineStr">
        <is>
          <t>Services GM %</t>
        </is>
      </c>
      <c r="B37" s="10" t="n">
        <v>-0.1</v>
      </c>
      <c r="C37" s="10" t="n">
        <v>-0.12</v>
      </c>
      <c r="D37" s="10" t="n">
        <v>-0.13</v>
      </c>
      <c r="E37" s="10" t="n">
        <v>-0.15</v>
      </c>
    </row>
    <row r="38">
      <c r="A38" t="inlineStr">
        <is>
          <t>Blended GM %</t>
        </is>
      </c>
      <c r="B38" s="10" t="n">
        <v>0.745</v>
      </c>
      <c r="C38" s="10" t="n">
        <v>0.745</v>
      </c>
      <c r="D38" s="10" t="n">
        <v>0.7449</v>
      </c>
      <c r="E38" s="10" t="n">
        <v>0.7475000000000001</v>
      </c>
    </row>
    <row r="39">
      <c r="A39" s="22" t="inlineStr">
        <is>
          <t>GP HCM ARR</t>
        </is>
      </c>
      <c r="B39" s="20" t="n">
        <v>4928</v>
      </c>
      <c r="C39" s="20" t="n">
        <v>4757</v>
      </c>
      <c r="D39" s="20" t="n">
        <v>4511</v>
      </c>
      <c r="E39" s="20" t="n">
        <v>4234</v>
      </c>
    </row>
    <row r="40">
      <c r="A40" s="22" t="inlineStr">
        <is>
          <t>GP Financials</t>
        </is>
      </c>
      <c r="B40" s="20" t="n">
        <v>2250</v>
      </c>
      <c r="C40" s="20" t="n">
        <v>2123</v>
      </c>
      <c r="D40" s="20" t="n">
        <v>1834</v>
      </c>
      <c r="E40" s="20" t="n">
        <v>1616</v>
      </c>
    </row>
    <row r="41">
      <c r="A41" s="22" t="inlineStr">
        <is>
          <t>GP AI ARR</t>
        </is>
      </c>
      <c r="B41" s="20" t="n">
        <v>187</v>
      </c>
      <c r="C41" s="20" t="n">
        <v>252</v>
      </c>
      <c r="D41" s="20" t="n">
        <v>298</v>
      </c>
      <c r="E41" s="20" t="n">
        <v>289</v>
      </c>
    </row>
    <row r="42">
      <c r="A42" s="22" t="inlineStr">
        <is>
          <t>GP Services</t>
        </is>
      </c>
      <c r="B42" s="20" t="n">
        <v>-70</v>
      </c>
      <c r="C42" s="20" t="n">
        <v>-75</v>
      </c>
      <c r="D42" s="20" t="n">
        <v>-72</v>
      </c>
      <c r="E42" s="20" t="n">
        <v>-73</v>
      </c>
    </row>
    <row r="43">
      <c r="A43" s="2" t="inlineStr">
        <is>
          <t>Total GP</t>
        </is>
      </c>
      <c r="B43" s="24" t="n">
        <v>7296</v>
      </c>
      <c r="C43" s="24" t="n">
        <v>7057</v>
      </c>
      <c r="D43" s="24" t="n">
        <v>6571</v>
      </c>
      <c r="E43" s="24" t="n">
        <v>6066</v>
      </c>
    </row>
    <row r="45">
      <c r="A45" s="3" t="inlineStr">
        <is>
          <t>What Goes Wrong</t>
        </is>
      </c>
      <c r="B45" s="21" t="n"/>
      <c r="C45" s="21" t="n"/>
      <c r="D45" s="21" t="n"/>
      <c r="E45" s="21" t="n"/>
      <c r="F45" s="21" t="n"/>
      <c r="G45" s="21" t="n"/>
    </row>
    <row r="46">
      <c r="A46" s="4" t="inlineStr">
        <is>
          <t>$M unless noted</t>
        </is>
      </c>
      <c r="B46" s="4" t="inlineStr">
        <is>
          <t>FY27</t>
        </is>
      </c>
      <c r="C46" s="4" t="inlineStr">
        <is>
          <t>FY28</t>
        </is>
      </c>
      <c r="D46" s="4" t="inlineStr">
        <is>
          <t>FY29</t>
        </is>
      </c>
      <c r="E46" s="4" t="inlineStr">
        <is>
          <t>FY30</t>
        </is>
      </c>
    </row>
    <row r="47">
      <c r="A47" t="inlineStr">
        <is>
          <t>HCM ARR</t>
        </is>
      </c>
      <c r="B47" s="13">
        <f>Assumptions!C72*Assumptions!C76*12</f>
        <v/>
      </c>
      <c r="C47" s="13">
        <f>Assumptions!D72*Assumptions!D76*12</f>
        <v/>
      </c>
      <c r="D47" s="13">
        <f>Assumptions!E72*Assumptions!E76*12</f>
        <v/>
      </c>
      <c r="E47" s="13">
        <f>Assumptions!F72*Assumptions!F76*12</f>
        <v/>
      </c>
    </row>
    <row r="48">
      <c r="A48" t="inlineStr">
        <is>
          <t>Financials ARR</t>
        </is>
      </c>
      <c r="B48" s="13">
        <f>Assumptions!C84*Assumptions!C88/1000</f>
        <v/>
      </c>
      <c r="C48" s="13">
        <f>Assumptions!D84*Assumptions!D88/1000</f>
        <v/>
      </c>
      <c r="D48" s="13">
        <f>Assumptions!E84*Assumptions!E88/1000</f>
        <v/>
      </c>
      <c r="E48" s="13">
        <f>Assumptions!F84*Assumptions!F88/1000</f>
        <v/>
      </c>
    </row>
    <row r="49">
      <c r="A49" s="22" t="inlineStr">
        <is>
          <t>AI ARR booked</t>
        </is>
      </c>
      <c r="B49" s="13" t="n">
        <v>480</v>
      </c>
      <c r="C49" s="13" t="n">
        <v>528</v>
      </c>
      <c r="D49" s="13" t="n">
        <v>554</v>
      </c>
      <c r="E49" s="13" t="n">
        <v>554</v>
      </c>
    </row>
    <row r="50">
      <c r="A50" s="2" t="inlineStr">
        <is>
          <t>AI ARR recognized</t>
        </is>
      </c>
      <c r="B50" s="12" t="n">
        <v>408</v>
      </c>
      <c r="C50" s="12" t="n">
        <v>511</v>
      </c>
      <c r="D50" s="12" t="n">
        <v>589</v>
      </c>
      <c r="E50" s="12" t="n">
        <v>567</v>
      </c>
    </row>
    <row r="51">
      <c r="A51" s="22" t="inlineStr">
        <is>
          <t>AI deferred balance</t>
        </is>
      </c>
      <c r="B51" s="20" t="n">
        <v>72</v>
      </c>
      <c r="C51" s="20" t="n">
        <v>89</v>
      </c>
      <c r="D51" s="20" t="n">
        <v>54</v>
      </c>
      <c r="E51" s="20" t="n">
        <v>42</v>
      </c>
    </row>
    <row r="52">
      <c r="A52" s="22" t="inlineStr">
        <is>
          <t>Services</t>
        </is>
      </c>
      <c r="B52" s="13" t="n">
        <v>647</v>
      </c>
      <c r="C52" s="13" t="n">
        <v>550</v>
      </c>
      <c r="D52" s="13" t="n">
        <v>468</v>
      </c>
      <c r="E52" s="13" t="n">
        <v>411</v>
      </c>
    </row>
    <row r="53">
      <c r="A53" s="2" t="inlineStr">
        <is>
          <t>Total revenue</t>
        </is>
      </c>
      <c r="B53" s="12">
        <f>B47+B48+B50+B52</f>
        <v/>
      </c>
      <c r="C53" s="12">
        <f>C47+C48+C50+C52</f>
        <v/>
      </c>
      <c r="D53" s="12">
        <f>D47+D48+D50+D52</f>
        <v/>
      </c>
      <c r="E53" s="12">
        <f>E47+E48+E50+E52</f>
        <v/>
      </c>
    </row>
    <row r="54">
      <c r="A54" t="inlineStr">
        <is>
          <t>HCM ARR GM %</t>
        </is>
      </c>
      <c r="B54" s="10" t="n">
        <v>0.84</v>
      </c>
      <c r="C54" s="10" t="n">
        <v>0.84</v>
      </c>
      <c r="D54" s="10" t="n">
        <v>0.84</v>
      </c>
      <c r="E54" s="10" t="n">
        <v>0.84</v>
      </c>
    </row>
    <row r="55">
      <c r="A55" t="inlineStr">
        <is>
          <t>Financials GM %</t>
        </is>
      </c>
      <c r="B55" s="10" t="n">
        <v>0.8</v>
      </c>
      <c r="C55" s="10" t="n">
        <v>0.8100000000000001</v>
      </c>
      <c r="D55" s="10" t="n">
        <v>0.82</v>
      </c>
      <c r="E55" s="10" t="n">
        <v>0.83</v>
      </c>
    </row>
    <row r="56">
      <c r="A56" t="inlineStr">
        <is>
          <t>AI ARR GM %</t>
        </is>
      </c>
      <c r="B56" s="10" t="n">
        <v>0.4</v>
      </c>
      <c r="C56" s="10" t="n">
        <v>0.4</v>
      </c>
      <c r="D56" s="10" t="n">
        <v>0.4</v>
      </c>
      <c r="E56" s="10" t="n">
        <v>0.4</v>
      </c>
    </row>
    <row r="57">
      <c r="A57" t="inlineStr">
        <is>
          <t>Services GM %</t>
        </is>
      </c>
      <c r="B57" s="10" t="n">
        <v>-0.1</v>
      </c>
      <c r="C57" s="10" t="n">
        <v>-0.13</v>
      </c>
      <c r="D57" s="10" t="n">
        <v>-0.16</v>
      </c>
      <c r="E57" s="10" t="n">
        <v>-0.18</v>
      </c>
    </row>
    <row r="58">
      <c r="A58" t="inlineStr">
        <is>
          <t>Blended GM %</t>
        </is>
      </c>
      <c r="B58" s="10" t="n">
        <v>0.7444</v>
      </c>
      <c r="C58" s="10" t="n">
        <v>0.7438</v>
      </c>
      <c r="D58" s="10" t="n">
        <v>0.7419</v>
      </c>
      <c r="E58" s="10" t="n">
        <v>0.7422</v>
      </c>
    </row>
    <row r="59">
      <c r="A59" s="22" t="inlineStr">
        <is>
          <t>GP HCM ARR</t>
        </is>
      </c>
      <c r="B59" s="20" t="n">
        <v>4748</v>
      </c>
      <c r="C59" s="20" t="n">
        <v>4395</v>
      </c>
      <c r="D59" s="20" t="n">
        <v>4028</v>
      </c>
      <c r="E59" s="20" t="n">
        <v>3676</v>
      </c>
    </row>
    <row r="60">
      <c r="A60" s="22" t="inlineStr">
        <is>
          <t>GP Financials</t>
        </is>
      </c>
      <c r="B60" s="20" t="n">
        <v>2112</v>
      </c>
      <c r="C60" s="20" t="n">
        <v>1871</v>
      </c>
      <c r="D60" s="20" t="n">
        <v>1599</v>
      </c>
      <c r="E60" s="20" t="n">
        <v>1374</v>
      </c>
    </row>
    <row r="61">
      <c r="A61" s="22" t="inlineStr">
        <is>
          <t>GP AI ARR</t>
        </is>
      </c>
      <c r="B61" s="20" t="n">
        <v>163</v>
      </c>
      <c r="C61" s="20" t="n">
        <v>204</v>
      </c>
      <c r="D61" s="20" t="n">
        <v>236</v>
      </c>
      <c r="E61" s="20" t="n">
        <v>227</v>
      </c>
    </row>
    <row r="62">
      <c r="A62" s="22" t="inlineStr">
        <is>
          <t>GP Services</t>
        </is>
      </c>
      <c r="B62" s="20" t="n">
        <v>-65</v>
      </c>
      <c r="C62" s="20" t="n">
        <v>-72</v>
      </c>
      <c r="D62" s="20" t="n">
        <v>-75</v>
      </c>
      <c r="E62" s="20" t="n">
        <v>-74</v>
      </c>
    </row>
    <row r="63">
      <c r="A63" s="2" t="inlineStr">
        <is>
          <t>Total GP</t>
        </is>
      </c>
      <c r="B63" s="24" t="n">
        <v>6958</v>
      </c>
      <c r="C63" s="24" t="n">
        <v>6399</v>
      </c>
      <c r="D63" s="24" t="n">
        <v>5788</v>
      </c>
      <c r="E63" s="24" t="n">
        <v>5203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AI Winner</t>
        </is>
      </c>
    </row>
    <row r="3">
      <c r="A3" s="2" t="inlineStr">
        <is>
          <t>Period</t>
        </is>
      </c>
      <c r="B3" s="25" t="inlineStr">
        <is>
          <t>Actual</t>
        </is>
      </c>
      <c r="C3" s="25" t="inlineStr">
        <is>
          <t>Actual</t>
        </is>
      </c>
      <c r="D3" s="25" t="inlineStr">
        <is>
          <t>Actual</t>
        </is>
      </c>
      <c r="E3" s="25" t="inlineStr">
        <is>
          <t>Actual</t>
        </is>
      </c>
      <c r="F3" s="25" t="inlineStr">
        <is>
          <t>Actual</t>
        </is>
      </c>
      <c r="G3" s="25" t="inlineStr">
        <is>
          <t>Actual</t>
        </is>
      </c>
      <c r="H3" s="26" t="inlineStr">
        <is>
          <t>Forecast</t>
        </is>
      </c>
      <c r="I3" s="26" t="inlineStr">
        <is>
          <t>Forecast</t>
        </is>
      </c>
      <c r="J3" s="26" t="inlineStr">
        <is>
          <t>Forecast</t>
        </is>
      </c>
      <c r="K3" s="26" t="inlineStr">
        <is>
          <t>Forecast</t>
        </is>
      </c>
      <c r="L3" t="inlineStr"/>
      <c r="M3" s="27" t="inlineStr">
        <is>
          <t>CAGR</t>
        </is>
      </c>
      <c r="N3" s="27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8" t="inlineStr">
        <is>
          <t>FY27E</t>
        </is>
      </c>
      <c r="I4" s="28" t="inlineStr">
        <is>
          <t>FY28E</t>
        </is>
      </c>
      <c r="J4" s="28" t="inlineStr">
        <is>
          <t>FY29E</t>
        </is>
      </c>
      <c r="K4" s="28" t="inlineStr">
        <is>
          <t>FY30E</t>
        </is>
      </c>
      <c r="L4" t="inlineStr"/>
      <c r="M4" s="29" t="inlineStr">
        <is>
          <t>CAGR FY21-25</t>
        </is>
      </c>
      <c r="N4" s="29" t="inlineStr">
        <is>
          <t>CAGR FY26-30</t>
        </is>
      </c>
    </row>
    <row r="5">
      <c r="A5" s="30" t="inlineStr">
        <is>
          <t>REVENUE BUILD (driven by Assumptions Unit Economics block)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31">
        <f>Assumptions!C70</f>
        <v/>
      </c>
      <c r="I6" s="31">
        <f>Assumptions!D70</f>
        <v/>
      </c>
      <c r="J6" s="31">
        <f>Assumptions!E70</f>
        <v/>
      </c>
      <c r="K6" s="31">
        <f>Assumptions!F70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2">
        <f>Assumptions!C74</f>
        <v/>
      </c>
      <c r="I7" s="32">
        <f>Assumptions!D74</f>
        <v/>
      </c>
      <c r="J7" s="32">
        <f>Assumptions!E74</f>
        <v/>
      </c>
      <c r="K7" s="32">
        <f>Assumptions!F74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3">
        <f>H6*H7*12</f>
        <v/>
      </c>
      <c r="I8" s="33">
        <f>I6*I7*12</f>
        <v/>
      </c>
      <c r="J8" s="33">
        <f>J6*J7*12</f>
        <v/>
      </c>
      <c r="K8" s="33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3">
        <f>Assumptions!C82</f>
        <v/>
      </c>
      <c r="I9" s="33">
        <f>Assumptions!D82</f>
        <v/>
      </c>
      <c r="J9" s="33">
        <f>Assumptions!E82</f>
        <v/>
      </c>
      <c r="K9" s="33">
        <f>Assumptions!F82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4">
        <f>Assumptions!C86</f>
        <v/>
      </c>
      <c r="I10" s="34">
        <f>Assumptions!D86</f>
        <v/>
      </c>
      <c r="J10" s="34">
        <f>Assumptions!E86</f>
        <v/>
      </c>
      <c r="K10" s="34">
        <f>Assumptions!F86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3">
        <f>H9*H10/1000</f>
        <v/>
      </c>
      <c r="I11" s="33">
        <f>I9*I10/1000</f>
        <v/>
      </c>
      <c r="J11" s="33">
        <f>J9*J10/1000</f>
        <v/>
      </c>
      <c r="K11" s="33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3">
        <f>Revenue_Build!B9</f>
        <v/>
      </c>
      <c r="I12" s="33">
        <f>Revenue_Build!C9</f>
        <v/>
      </c>
      <c r="J12" s="33">
        <f>Revenue_Build!D9</f>
        <v/>
      </c>
      <c r="K12" s="33">
        <f>Revenue_Build!E9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3">
        <f>Revenue_Build!B10</f>
        <v/>
      </c>
      <c r="I13" s="33">
        <f>Revenue_Build!C10</f>
        <v/>
      </c>
      <c r="J13" s="33">
        <f>Revenue_Build!D10</f>
        <v/>
      </c>
      <c r="K13" s="33">
        <f>Revenue_Build!E10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3">
        <f>Revenue_Build!B12</f>
        <v/>
      </c>
      <c r="I14" s="33">
        <f>Revenue_Build!C12</f>
        <v/>
      </c>
      <c r="J14" s="33">
        <f>Revenue_Build!D12</f>
        <v/>
      </c>
      <c r="K14" s="33">
        <f>Revenue_Build!E12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3">
        <f>H8+H11+H13+H14</f>
        <v/>
      </c>
      <c r="I15" s="33">
        <f>I8+I11+I13+I14</f>
        <v/>
      </c>
      <c r="J15" s="33">
        <f>J8+J11+J13+J14</f>
        <v/>
      </c>
      <c r="K15" s="33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</row>
    <row r="18">
      <c r="A18" t="inlineStr">
        <is>
          <t>Revenue growth %</t>
        </is>
      </c>
      <c r="H18" s="35">
        <f>Assumptions!C11</f>
        <v/>
      </c>
      <c r="I18" s="35">
        <f>Assumptions!D11</f>
        <v/>
      </c>
      <c r="J18" s="35">
        <f>Assumptions!E11</f>
        <v/>
      </c>
      <c r="K18" s="35">
        <f>Assumptions!F11</f>
        <v/>
      </c>
    </row>
    <row r="19">
      <c r="A19" t="inlineStr">
        <is>
          <t>Backlog growth %</t>
        </is>
      </c>
      <c r="H19" s="35">
        <f>Assumptions!C15</f>
        <v/>
      </c>
      <c r="I19" s="35">
        <f>Assumptions!D15</f>
        <v/>
      </c>
      <c r="J19" s="35">
        <f>Assumptions!E15</f>
        <v/>
      </c>
      <c r="K19" s="35">
        <f>Assumptions!F15</f>
        <v/>
      </c>
    </row>
    <row r="20">
      <c r="A20" t="inlineStr">
        <is>
          <t>Cost of rev (% rev)</t>
        </is>
      </c>
      <c r="H20" s="35">
        <f>Assumptions!C19</f>
        <v/>
      </c>
      <c r="I20" s="35">
        <f>Assumptions!D19</f>
        <v/>
      </c>
      <c r="J20" s="35">
        <f>Assumptions!E19</f>
        <v/>
      </c>
      <c r="K20" s="35">
        <f>Assumptions!F19</f>
        <v/>
      </c>
    </row>
    <row r="21">
      <c r="A21" t="inlineStr">
        <is>
          <t>R&amp;D (% rev)</t>
        </is>
      </c>
      <c r="H21" s="35">
        <f>Assumptions!C23</f>
        <v/>
      </c>
      <c r="I21" s="35">
        <f>Assumptions!D23</f>
        <v/>
      </c>
      <c r="J21" s="35">
        <f>Assumptions!E23</f>
        <v/>
      </c>
      <c r="K21" s="35">
        <f>Assumptions!F23</f>
        <v/>
      </c>
    </row>
    <row r="22">
      <c r="A22" t="inlineStr">
        <is>
          <t>S&amp;M (% rev)</t>
        </is>
      </c>
      <c r="H22" s="35">
        <f>Assumptions!C27</f>
        <v/>
      </c>
      <c r="I22" s="35">
        <f>Assumptions!D27</f>
        <v/>
      </c>
      <c r="J22" s="35">
        <f>Assumptions!E27</f>
        <v/>
      </c>
      <c r="K22" s="35">
        <f>Assumptions!F27</f>
        <v/>
      </c>
    </row>
    <row r="23">
      <c r="A23" t="inlineStr">
        <is>
          <t>G&amp;A (% rev)</t>
        </is>
      </c>
      <c r="H23" s="35">
        <f>Assumptions!C31</f>
        <v/>
      </c>
      <c r="I23" s="35">
        <f>Assumptions!D31</f>
        <v/>
      </c>
      <c r="J23" s="35">
        <f>Assumptions!E31</f>
        <v/>
      </c>
      <c r="K23" s="35">
        <f>Assumptions!F31</f>
        <v/>
      </c>
    </row>
    <row r="24">
      <c r="A24" t="inlineStr">
        <is>
          <t>SBC (% rev)</t>
        </is>
      </c>
      <c r="H24" s="35">
        <f>Assumptions!C35</f>
        <v/>
      </c>
      <c r="I24" s="35">
        <f>Assumptions!D35</f>
        <v/>
      </c>
      <c r="J24" s="35">
        <f>Assumptions!E35</f>
        <v/>
      </c>
      <c r="K24" s="35">
        <f>Assumptions!F35</f>
        <v/>
      </c>
    </row>
    <row r="25">
      <c r="A25" t="inlineStr">
        <is>
          <t>CFO margin</t>
        </is>
      </c>
      <c r="H25" s="35">
        <f>Assumptions!C39</f>
        <v/>
      </c>
      <c r="I25" s="35">
        <f>Assumptions!D39</f>
        <v/>
      </c>
      <c r="J25" s="35">
        <f>Assumptions!E39</f>
        <v/>
      </c>
      <c r="K25" s="35">
        <f>Assumptions!F39</f>
        <v/>
      </c>
    </row>
    <row r="26">
      <c r="A26" t="inlineStr">
        <is>
          <t>Buyback (%/yr)</t>
        </is>
      </c>
      <c r="H26" s="35">
        <f>Assumptions!C43</f>
        <v/>
      </c>
      <c r="I26" s="35">
        <f>Assumptions!D43</f>
        <v/>
      </c>
      <c r="J26" s="35">
        <f>Assumptions!E43</f>
        <v/>
      </c>
      <c r="K26" s="35">
        <f>Assumptions!F43</f>
        <v/>
      </c>
    </row>
    <row r="28">
      <c r="A28" s="36" t="inlineStr">
        <is>
          <t>INCOME STATEMENT</t>
        </is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3">
        <f>H15</f>
        <v/>
      </c>
      <c r="I29" s="33">
        <f>I15</f>
        <v/>
      </c>
      <c r="J29" s="33">
        <f>J15</f>
        <v/>
      </c>
      <c r="K29" s="33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8">
        <f>H29*Assumptions!C19</f>
        <v/>
      </c>
      <c r="I30" s="38">
        <f>I29*Assumptions!D19</f>
        <v/>
      </c>
      <c r="J30" s="38">
        <f>J29*Assumptions!E19</f>
        <v/>
      </c>
      <c r="K30" s="38">
        <f>K29*Assumptions!F19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3">
        <f>H29-H30</f>
        <v/>
      </c>
      <c r="I31" s="33">
        <f>I29-I30</f>
        <v/>
      </c>
      <c r="J31" s="33">
        <f>J29-J30</f>
        <v/>
      </c>
      <c r="K31" s="33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8">
        <f>H29*Assumptions!C23</f>
        <v/>
      </c>
      <c r="I32" s="38">
        <f>I29*Assumptions!D23</f>
        <v/>
      </c>
      <c r="J32" s="38">
        <f>J29*Assumptions!E23</f>
        <v/>
      </c>
      <c r="K32" s="38">
        <f>K29*Assumptions!F23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8">
        <f>H29*Assumptions!C27</f>
        <v/>
      </c>
      <c r="I33" s="38">
        <f>I29*Assumptions!D27</f>
        <v/>
      </c>
      <c r="J33" s="38">
        <f>J29*Assumptions!E27</f>
        <v/>
      </c>
      <c r="K33" s="38">
        <f>K29*Assumptions!F27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8">
        <f>H29*Assumptions!C31</f>
        <v/>
      </c>
      <c r="I34" s="38">
        <f>I29*Assumptions!D31</f>
        <v/>
      </c>
      <c r="J34" s="38">
        <f>J29*Assumptions!E31</f>
        <v/>
      </c>
      <c r="K34" s="38">
        <f>K29*Assumptions!F31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8">
        <f>H31-H32-H33-H34-Assumptions!C100</f>
        <v/>
      </c>
      <c r="I35" s="38">
        <f>I31-I32-I33-I34-Assumptions!D100</f>
        <v/>
      </c>
      <c r="J35" s="38">
        <f>J31-J32-J33-J34-Assumptions!E100</f>
        <v/>
      </c>
      <c r="K35" s="38">
        <f>K31-K32-K33-K34-Assumptions!F100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5">
        <f>IFERROR(H35/H29,"")</f>
        <v/>
      </c>
      <c r="I36" s="35">
        <f>IFERROR(I35/I29,"")</f>
        <v/>
      </c>
      <c r="J36" s="35">
        <f>IFERROR(J35/J29,"")</f>
        <v/>
      </c>
      <c r="K36" s="35">
        <f>IFERROR(K35/K29,"")</f>
        <v/>
      </c>
      <c r="M36" s="39">
        <f>IFERROR(F36-B36, "")</f>
        <v/>
      </c>
      <c r="N36" s="39">
        <f>IFERROR(K36-G36, "")</f>
        <v/>
      </c>
    </row>
    <row r="37">
      <c r="A37" t="inlineStr">
        <is>
          <t>Interest income (% × prior cash+sec)</t>
        </is>
      </c>
      <c r="G37" s="13" t="n">
        <v>318</v>
      </c>
      <c r="H37" s="33">
        <f>Assumptions!C97*(G46+G47)</f>
        <v/>
      </c>
      <c r="I37" s="33">
        <f>Assumptions!D97*(H46+H47)</f>
        <v/>
      </c>
      <c r="J37" s="33">
        <f>Assumptions!E97*(I46+I47)</f>
        <v/>
      </c>
      <c r="K37" s="33">
        <f>Assumptions!F97*(J46+J47)</f>
        <v/>
      </c>
    </row>
    <row r="38">
      <c r="A38" t="inlineStr">
        <is>
          <t>Interest expense (% × debt)</t>
        </is>
      </c>
      <c r="G38" s="20" t="n">
        <v>-105</v>
      </c>
      <c r="H38" s="38">
        <f>-Assumptions!C98*H68</f>
        <v/>
      </c>
      <c r="I38" s="38">
        <f>-Assumptions!D98*I68</f>
        <v/>
      </c>
      <c r="J38" s="38">
        <f>-Assumptions!E98*J68</f>
        <v/>
      </c>
      <c r="K38" s="38">
        <f>-Assumptions!F98*K68</f>
        <v/>
      </c>
    </row>
    <row r="39">
      <c r="A39" s="2" t="inlineStr">
        <is>
          <t>Pre-tax income</t>
        </is>
      </c>
      <c r="G39" s="20" t="n">
        <v>1009</v>
      </c>
      <c r="H39" s="38">
        <f>H35+H37+H38</f>
        <v/>
      </c>
      <c r="I39" s="38">
        <f>I35+I37+I38</f>
        <v/>
      </c>
      <c r="J39" s="38">
        <f>J35+J37+J38</f>
        <v/>
      </c>
      <c r="K39" s="38">
        <f>K35+K37+K38</f>
        <v/>
      </c>
    </row>
    <row r="40">
      <c r="A40" t="inlineStr">
        <is>
          <t>Tax expense (tax rate × pre-tax)</t>
        </is>
      </c>
      <c r="G40" s="20" t="n">
        <v>-316</v>
      </c>
      <c r="H40" s="38">
        <f>-H39*Assumptions!C99</f>
        <v/>
      </c>
      <c r="I40" s="38">
        <f>-I39*Assumptions!D99</f>
        <v/>
      </c>
      <c r="J40" s="38">
        <f>-J39*Assumptions!E99</f>
        <v/>
      </c>
      <c r="K40" s="38">
        <f>-K39*Assumptions!F99</f>
        <v/>
      </c>
    </row>
    <row r="41">
      <c r="A41" s="2" t="inlineStr">
        <is>
          <t>Net income (GAAP)</t>
        </is>
      </c>
      <c r="B41" s="20" t="n">
        <v>-282.4</v>
      </c>
      <c r="C41" s="20" t="n">
        <v>29</v>
      </c>
      <c r="D41" s="20" t="n">
        <v>-367</v>
      </c>
      <c r="E41" s="20" t="n">
        <v>1381</v>
      </c>
      <c r="F41" s="20" t="n">
        <v>526</v>
      </c>
      <c r="G41" s="20" t="n">
        <v>693</v>
      </c>
      <c r="H41" s="24">
        <f>H39+H40</f>
        <v/>
      </c>
      <c r="I41" s="24">
        <f>I39+I40</f>
        <v/>
      </c>
      <c r="J41" s="24">
        <f>J39+J40</f>
        <v/>
      </c>
      <c r="K41" s="24">
        <f>K39+K40</f>
        <v/>
      </c>
      <c r="M41" s="10">
        <f>IFERROR(IF(OR(B41&lt;=0,F41&lt;=0),"N/M",(F41/B41)^(1/4)-1), "N/M")</f>
        <v/>
      </c>
      <c r="N41" s="10">
        <f>IFERROR(IF(OR(G41&lt;=0,K41&lt;=0),"N/M",(K41/G41)^(1/4)-1), "N/M")</f>
        <v/>
      </c>
    </row>
    <row r="42">
      <c r="A42" s="2" t="inlineStr">
        <is>
          <t>Diluted EPS</t>
        </is>
      </c>
      <c r="G42" s="6" t="n">
        <v>2.59</v>
      </c>
      <c r="H42" s="32">
        <f>H41/H122</f>
        <v/>
      </c>
      <c r="I42" s="32">
        <f>I41/I122</f>
        <v/>
      </c>
      <c r="J42" s="32">
        <f>J41/J122</f>
        <v/>
      </c>
      <c r="K42" s="32">
        <f>K41/K122</f>
        <v/>
      </c>
    </row>
    <row r="44">
      <c r="A44" s="36" t="inlineStr">
        <is>
          <t>BALANCE SHEET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</row>
    <row r="45">
      <c r="A45" s="3" t="inlineStr">
        <is>
          <t>ASSETS</t>
        </is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</row>
    <row r="46">
      <c r="A46" t="inlineStr">
        <is>
          <t>Cash &amp; equivalents</t>
        </is>
      </c>
      <c r="B46" s="20" t="n">
        <v>1384.2</v>
      </c>
      <c r="C46" s="20" t="n">
        <v>1534</v>
      </c>
      <c r="D46" s="20" t="n">
        <v>1886</v>
      </c>
      <c r="E46" s="20" t="n">
        <v>2012</v>
      </c>
      <c r="F46" s="20" t="n">
        <v>1543</v>
      </c>
      <c r="G46" s="20" t="n">
        <v>1501</v>
      </c>
      <c r="H46" s="38">
        <f>G46+H107</f>
        <v/>
      </c>
      <c r="I46" s="38">
        <f>H46+I107</f>
        <v/>
      </c>
      <c r="J46" s="38">
        <f>I46+J107</f>
        <v/>
      </c>
      <c r="K46" s="38">
        <f>J46+K107</f>
        <v/>
      </c>
    </row>
    <row r="47">
      <c r="A47" t="inlineStr">
        <is>
          <t>Marketable securities</t>
        </is>
      </c>
      <c r="G47" s="20" t="n">
        <v>3942</v>
      </c>
      <c r="H47" s="38">
        <f>G47</f>
        <v/>
      </c>
      <c r="I47" s="38">
        <f>H47</f>
        <v/>
      </c>
      <c r="J47" s="38">
        <f>I47</f>
        <v/>
      </c>
      <c r="K47" s="38">
        <f>J47</f>
        <v/>
      </c>
    </row>
    <row r="48">
      <c r="A48" t="inlineStr">
        <is>
          <t>Accounts receivable</t>
        </is>
      </c>
      <c r="B48" s="20" t="n">
        <v>1032.5</v>
      </c>
      <c r="C48" s="20" t="n">
        <v>1242.5</v>
      </c>
      <c r="D48" s="20" t="n">
        <v>1570</v>
      </c>
      <c r="E48" s="20" t="n">
        <v>1639</v>
      </c>
      <c r="F48" s="20" t="n">
        <v>1950</v>
      </c>
      <c r="G48" s="20" t="n">
        <v>2332</v>
      </c>
      <c r="H48" s="38">
        <f>(Assumptions!C101/365)*H29</f>
        <v/>
      </c>
      <c r="I48" s="38">
        <f>(Assumptions!D101/365)*I29</f>
        <v/>
      </c>
      <c r="J48" s="38">
        <f>(Assumptions!E101/365)*J29</f>
        <v/>
      </c>
      <c r="K48" s="38">
        <f>(Assumptions!F101/365)*K29</f>
        <v/>
      </c>
    </row>
    <row r="49">
      <c r="A49" t="inlineStr">
        <is>
          <t>Prepaid + other current</t>
        </is>
      </c>
      <c r="G49" s="20" t="n">
        <v>348</v>
      </c>
      <c r="H49" s="38">
        <f>H29*Assumptions!C102</f>
        <v/>
      </c>
      <c r="I49" s="38">
        <f>I29*Assumptions!D102</f>
        <v/>
      </c>
      <c r="J49" s="38">
        <f>J29*Assumptions!E102</f>
        <v/>
      </c>
      <c r="K49" s="38">
        <f>K29*Assumptions!F102</f>
        <v/>
      </c>
    </row>
    <row r="50">
      <c r="A50" t="inlineStr">
        <is>
          <t>Deferred costs (current)</t>
        </is>
      </c>
      <c r="G50" s="20" t="n">
        <v>306</v>
      </c>
      <c r="H50" s="38">
        <f>H29*Assumptions!C103</f>
        <v/>
      </c>
      <c r="I50" s="38">
        <f>I29*Assumptions!D103</f>
        <v/>
      </c>
      <c r="J50" s="38">
        <f>J29*Assumptions!E103</f>
        <v/>
      </c>
      <c r="K50" s="38">
        <f>K29*Assumptions!F103</f>
        <v/>
      </c>
    </row>
    <row r="51">
      <c r="A51" t="inlineStr">
        <is>
          <t>Property, plant &amp; equipment</t>
        </is>
      </c>
      <c r="G51" s="20" t="n">
        <v>1093</v>
      </c>
      <c r="H51" s="38">
        <f>G51+Assumptions!C110-Assumptions!C113</f>
        <v/>
      </c>
      <c r="I51" s="38">
        <f>H51+Assumptions!D110-Assumptions!D113</f>
        <v/>
      </c>
      <c r="J51" s="38">
        <f>I51+Assumptions!E110-Assumptions!E113</f>
        <v/>
      </c>
      <c r="K51" s="38">
        <f>J51+Assumptions!F110-Assumptions!F113</f>
        <v/>
      </c>
    </row>
    <row r="52">
      <c r="A52" t="inlineStr">
        <is>
          <t>Operating lease ROU</t>
        </is>
      </c>
      <c r="G52" s="20" t="n">
        <v>719</v>
      </c>
      <c r="H52" s="38">
        <f>G52</f>
        <v/>
      </c>
      <c r="I52" s="38">
        <f>H52</f>
        <v/>
      </c>
      <c r="J52" s="38">
        <f>I52</f>
        <v/>
      </c>
      <c r="K52" s="38">
        <f>J52</f>
        <v/>
      </c>
    </row>
    <row r="53">
      <c r="A53" t="inlineStr">
        <is>
          <t>Goodwill</t>
        </is>
      </c>
      <c r="G53" s="20" t="n">
        <v>5229</v>
      </c>
      <c r="H53" s="38">
        <f>G53</f>
        <v/>
      </c>
      <c r="I53" s="38">
        <f>H53</f>
        <v/>
      </c>
      <c r="J53" s="38">
        <f>I53</f>
        <v/>
      </c>
      <c r="K53" s="38">
        <f>J53</f>
        <v/>
      </c>
    </row>
    <row r="54">
      <c r="A54" t="inlineStr">
        <is>
          <t>Intangibles (net)</t>
        </is>
      </c>
      <c r="G54" s="20" t="n">
        <v>600</v>
      </c>
      <c r="H54" s="38">
        <f>G54-Assumptions!C109</f>
        <v/>
      </c>
      <c r="I54" s="38">
        <f>H54-Assumptions!D109</f>
        <v/>
      </c>
      <c r="J54" s="38">
        <f>I54-Assumptions!E109</f>
        <v/>
      </c>
      <c r="K54" s="38">
        <f>J54-Assumptions!F109</f>
        <v/>
      </c>
    </row>
    <row r="55">
      <c r="A55" t="inlineStr">
        <is>
          <t>Deferred contract costs (NC)</t>
        </is>
      </c>
      <c r="G55" s="20" t="n">
        <v>634</v>
      </c>
      <c r="H55" s="38">
        <f>H29*Assumptions!C104</f>
        <v/>
      </c>
      <c r="I55" s="38">
        <f>I29*Assumptions!D104</f>
        <v/>
      </c>
      <c r="J55" s="38">
        <f>J29*Assumptions!E104</f>
        <v/>
      </c>
      <c r="K55" s="38">
        <f>K29*Assumptions!F104</f>
        <v/>
      </c>
    </row>
    <row r="56">
      <c r="A56" t="inlineStr">
        <is>
          <t>Deferred tax assets</t>
        </is>
      </c>
      <c r="G56" s="20" t="n">
        <v>829</v>
      </c>
      <c r="H56" s="38">
        <f>G56</f>
        <v/>
      </c>
      <c r="I56" s="38">
        <f>H56</f>
        <v/>
      </c>
      <c r="J56" s="38">
        <f>I56</f>
        <v/>
      </c>
      <c r="K56" s="38">
        <f>J56</f>
        <v/>
      </c>
    </row>
    <row r="57">
      <c r="A57" t="inlineStr">
        <is>
          <t>Other assets (NC)</t>
        </is>
      </c>
      <c r="G57" s="20" t="n">
        <v>541</v>
      </c>
      <c r="H57" s="38">
        <f>G57</f>
        <v/>
      </c>
      <c r="I57" s="38">
        <f>H57</f>
        <v/>
      </c>
      <c r="J57" s="38">
        <f>I57</f>
        <v/>
      </c>
      <c r="K57" s="38">
        <f>J57</f>
        <v/>
      </c>
    </row>
    <row r="58">
      <c r="A58" s="2" t="inlineStr">
        <is>
          <t>Total assets</t>
        </is>
      </c>
      <c r="G58" s="24" t="n">
        <v>18074</v>
      </c>
      <c r="H58" s="24">
        <f>H46+H47+H48+H49+H50+H51+H52+H53+H54+H55+H56+H57</f>
        <v/>
      </c>
      <c r="I58" s="24">
        <f>I46+I47+I48+I49+I50+I51+I52+I53+I54+I55+I56+I57</f>
        <v/>
      </c>
      <c r="J58" s="24">
        <f>J46+J47+J48+J49+J50+J51+J52+J53+J54+J55+J56+J57</f>
        <v/>
      </c>
      <c r="K58" s="24">
        <f>K46+K47+K48+K49+K50+K51+K52+K53+K54+K55+K56+K57</f>
        <v/>
      </c>
    </row>
    <row r="60">
      <c r="A60" s="3" t="inlineStr">
        <is>
          <t>LIABILITIES</t>
        </is>
      </c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</row>
    <row r="61">
      <c r="A61" t="inlineStr">
        <is>
          <t>Accounts payable</t>
        </is>
      </c>
      <c r="G61" s="20" t="n">
        <v>142</v>
      </c>
      <c r="H61" s="38">
        <f>H29*Assumptions!C105</f>
        <v/>
      </c>
      <c r="I61" s="38">
        <f>I29*Assumptions!D105</f>
        <v/>
      </c>
      <c r="J61" s="38">
        <f>J29*Assumptions!E105</f>
        <v/>
      </c>
      <c r="K61" s="38">
        <f>K29*Assumptions!F105</f>
        <v/>
      </c>
    </row>
    <row r="62">
      <c r="A62" t="inlineStr">
        <is>
          <t>Accrued compensation</t>
        </is>
      </c>
      <c r="G62" s="20" t="n">
        <v>642</v>
      </c>
      <c r="H62" s="38">
        <f>H29*Assumptions!C106</f>
        <v/>
      </c>
      <c r="I62" s="38">
        <f>I29*Assumptions!D106</f>
        <v/>
      </c>
      <c r="J62" s="38">
        <f>J29*Assumptions!E106</f>
        <v/>
      </c>
      <c r="K62" s="38">
        <f>K29*Assumptions!F106</f>
        <v/>
      </c>
    </row>
    <row r="63">
      <c r="A63" t="inlineStr">
        <is>
          <t>Accrued other</t>
        </is>
      </c>
      <c r="G63" s="20" t="n">
        <v>454</v>
      </c>
      <c r="H63" s="38">
        <f>H29*Assumptions!C107</f>
        <v/>
      </c>
      <c r="I63" s="38">
        <f>I29*Assumptions!D107</f>
        <v/>
      </c>
      <c r="J63" s="38">
        <f>J29*Assumptions!E107</f>
        <v/>
      </c>
      <c r="K63" s="38">
        <f>K29*Assumptions!F107</f>
        <v/>
      </c>
    </row>
    <row r="64">
      <c r="A64" t="inlineStr">
        <is>
          <t>Deferred revenue (current)</t>
        </is>
      </c>
      <c r="B64" s="20" t="n">
        <v>2556.6</v>
      </c>
      <c r="C64" s="20" t="n">
        <v>3110.9</v>
      </c>
      <c r="D64" s="20" t="n">
        <v>3559</v>
      </c>
      <c r="E64" s="20" t="n">
        <v>4057</v>
      </c>
      <c r="F64" s="20" t="n">
        <v>4467</v>
      </c>
      <c r="G64" s="20" t="n">
        <v>5010</v>
      </c>
      <c r="H64" s="38">
        <f>Assumptions!C108*(H8+H11)+Revenue_Build!B11</f>
        <v/>
      </c>
      <c r="I64" s="38">
        <f>Assumptions!D108*(I8+I11)+Revenue_Build!C11</f>
        <v/>
      </c>
      <c r="J64" s="38">
        <f>Assumptions!E108*(J8+J11)+Revenue_Build!D11</f>
        <v/>
      </c>
      <c r="K64" s="38">
        <f>Assumptions!F108*(K8+K11)+Revenue_Build!E11</f>
        <v/>
      </c>
    </row>
    <row r="65">
      <c r="A65" t="inlineStr">
        <is>
          <t>Deferred revenue (NC)</t>
        </is>
      </c>
      <c r="B65" s="20" t="n">
        <v>80.09999999999999</v>
      </c>
      <c r="C65" s="20" t="n">
        <v>71.5</v>
      </c>
      <c r="D65" s="20" t="n">
        <v>75</v>
      </c>
      <c r="E65" s="20" t="n">
        <v>70</v>
      </c>
      <c r="F65" s="20" t="n">
        <v>80</v>
      </c>
      <c r="G65" s="20" t="n">
        <v>71</v>
      </c>
      <c r="H65" s="38">
        <f>G65</f>
        <v/>
      </c>
      <c r="I65" s="38">
        <f>H65</f>
        <v/>
      </c>
      <c r="J65" s="38">
        <f>I65</f>
        <v/>
      </c>
      <c r="K65" s="38">
        <f>J65</f>
        <v/>
      </c>
    </row>
    <row r="66">
      <c r="A66" t="inlineStr">
        <is>
          <t>Operating lease liab (current)</t>
        </is>
      </c>
      <c r="G66" s="20" t="n">
        <v>130</v>
      </c>
      <c r="H66" s="38">
        <f>G66</f>
        <v/>
      </c>
      <c r="I66" s="38">
        <f>H66</f>
        <v/>
      </c>
      <c r="J66" s="38">
        <f>I66</f>
        <v/>
      </c>
      <c r="K66" s="38">
        <f>J66</f>
        <v/>
      </c>
    </row>
    <row r="67">
      <c r="A67" t="inlineStr">
        <is>
          <t>Operating lease liab (NC)</t>
        </is>
      </c>
      <c r="G67" s="20" t="n">
        <v>704</v>
      </c>
      <c r="H67" s="38">
        <f>G67</f>
        <v/>
      </c>
      <c r="I67" s="38">
        <f>H67</f>
        <v/>
      </c>
      <c r="J67" s="38">
        <f>I67</f>
        <v/>
      </c>
      <c r="K67" s="38">
        <f>J67</f>
        <v/>
      </c>
    </row>
    <row r="68">
      <c r="A68" t="inlineStr">
        <is>
          <t>Senior convertible notes</t>
        </is>
      </c>
      <c r="G68" s="20" t="n">
        <v>2987</v>
      </c>
      <c r="H68" s="38">
        <f>G68</f>
        <v/>
      </c>
      <c r="I68" s="38">
        <f>H68</f>
        <v/>
      </c>
      <c r="J68" s="38">
        <f>I68</f>
        <v/>
      </c>
      <c r="K68" s="38">
        <f>J68</f>
        <v/>
      </c>
    </row>
    <row r="69">
      <c r="A69" t="inlineStr">
        <is>
          <t>Other long-term liabilities</t>
        </is>
      </c>
      <c r="G69" s="20" t="n">
        <v>129</v>
      </c>
      <c r="H69" s="38">
        <f>G69</f>
        <v/>
      </c>
      <c r="I69" s="38">
        <f>H69</f>
        <v/>
      </c>
      <c r="J69" s="38">
        <f>I69</f>
        <v/>
      </c>
      <c r="K69" s="38">
        <f>J69</f>
        <v/>
      </c>
    </row>
    <row r="70">
      <c r="A70" s="2" t="inlineStr">
        <is>
          <t>Total liabilities</t>
        </is>
      </c>
      <c r="G70" s="24" t="n">
        <v>10269</v>
      </c>
      <c r="H70" s="24">
        <f>H61+H62+H63+H64+H65+H66+H67+H68+H69</f>
        <v/>
      </c>
      <c r="I70" s="24">
        <f>I61+I62+I63+I64+I65+I66+I67+I68+I69</f>
        <v/>
      </c>
      <c r="J70" s="24">
        <f>J61+J62+J63+J64+J65+J66+J67+J68+J69</f>
        <v/>
      </c>
      <c r="K70" s="24">
        <f>K61+K62+K63+K64+K65+K66+K67+K68+K69</f>
        <v/>
      </c>
    </row>
    <row r="72">
      <c r="A72" s="3" t="inlineStr">
        <is>
          <t>EQUITY</t>
        </is>
      </c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</row>
    <row r="73">
      <c r="A73" t="inlineStr">
        <is>
          <t>Additional paid-in capital</t>
        </is>
      </c>
      <c r="G73" s="20" t="n">
        <v>12673</v>
      </c>
      <c r="H73" s="38">
        <f>G73+H86</f>
        <v/>
      </c>
      <c r="I73" s="38">
        <f>H73+I86</f>
        <v/>
      </c>
      <c r="J73" s="38">
        <f>I73+J86</f>
        <v/>
      </c>
      <c r="K73" s="38">
        <f>J73+K86</f>
        <v/>
      </c>
    </row>
    <row r="74">
      <c r="A74" t="inlineStr">
        <is>
          <t>Treasury stock</t>
        </is>
      </c>
      <c r="G74" s="20" t="n">
        <v>-4220</v>
      </c>
      <c r="H74" s="38">
        <f>G74+H102</f>
        <v/>
      </c>
      <c r="I74" s="38">
        <f>H74+I102</f>
        <v/>
      </c>
      <c r="J74" s="38">
        <f>I74+J102</f>
        <v/>
      </c>
      <c r="K74" s="38">
        <f>J74+K102</f>
        <v/>
      </c>
    </row>
    <row r="75">
      <c r="A75" t="inlineStr">
        <is>
          <t>Retained earnings / (deficit)</t>
        </is>
      </c>
      <c r="G75" s="20" t="n">
        <v>-512</v>
      </c>
      <c r="H75" s="38">
        <f>G75+H41+H103</f>
        <v/>
      </c>
      <c r="I75" s="38">
        <f>H75+I41+I103</f>
        <v/>
      </c>
      <c r="J75" s="38">
        <f>I75+J41+J103</f>
        <v/>
      </c>
      <c r="K75" s="38">
        <f>J75+K41+K103</f>
        <v/>
      </c>
    </row>
    <row r="76">
      <c r="A76" t="inlineStr">
        <is>
          <t>AOCI</t>
        </is>
      </c>
      <c r="G76" s="20" t="n">
        <v>-136</v>
      </c>
      <c r="H76" s="38">
        <f>G76</f>
        <v/>
      </c>
      <c r="I76" s="38">
        <f>H76</f>
        <v/>
      </c>
      <c r="J76" s="38">
        <f>I76</f>
        <v/>
      </c>
      <c r="K76" s="38">
        <f>J76</f>
        <v/>
      </c>
    </row>
    <row r="77">
      <c r="A77" s="2" t="inlineStr">
        <is>
          <t>Total stockholders' equity</t>
        </is>
      </c>
      <c r="G77" s="24" t="n">
        <v>7805</v>
      </c>
      <c r="H77" s="24">
        <f>H73+H74+H75+H76</f>
        <v/>
      </c>
      <c r="I77" s="24">
        <f>I73+I74+I75+I76</f>
        <v/>
      </c>
      <c r="J77" s="24">
        <f>J73+J74+J75+J76</f>
        <v/>
      </c>
      <c r="K77" s="24">
        <f>K73+K74+K75+K76</f>
        <v/>
      </c>
    </row>
    <row r="79">
      <c r="A79" s="2" t="inlineStr">
        <is>
          <t>Balance check: A − L − E (≈ 0)</t>
        </is>
      </c>
      <c r="G79" s="40" t="n">
        <v>0</v>
      </c>
      <c r="H79" s="40">
        <f>H58-H70-H77</f>
        <v/>
      </c>
      <c r="I79" s="40">
        <f>I58-I70-I77</f>
        <v/>
      </c>
      <c r="J79" s="40">
        <f>J58-J70-J77</f>
        <v/>
      </c>
      <c r="K79" s="40">
        <f>K58-K70-K77</f>
        <v/>
      </c>
    </row>
    <row r="81">
      <c r="A81" s="36" t="inlineStr">
        <is>
          <t>CASH FLOW STATEMENT</t>
        </is>
      </c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</row>
    <row r="82">
      <c r="A82" s="3" t="inlineStr">
        <is>
          <t>Operating activities</t>
        </is>
      </c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</row>
    <row r="83">
      <c r="A83" t="inlineStr">
        <is>
          <t>Net income</t>
        </is>
      </c>
      <c r="B83" s="20" t="n">
        <v>-282.4</v>
      </c>
      <c r="C83" s="20" t="n">
        <v>29</v>
      </c>
      <c r="D83" s="20" t="n">
        <v>-367</v>
      </c>
      <c r="E83" s="20" t="n">
        <v>1381</v>
      </c>
      <c r="F83" s="20" t="n">
        <v>526</v>
      </c>
      <c r="G83" s="20" t="n">
        <v>693</v>
      </c>
      <c r="H83" s="38">
        <f>H41</f>
        <v/>
      </c>
      <c r="I83" s="38">
        <f>I41</f>
        <v/>
      </c>
      <c r="J83" s="38">
        <f>J41</f>
        <v/>
      </c>
      <c r="K83" s="38">
        <f>K41</f>
        <v/>
      </c>
    </row>
    <row r="84">
      <c r="A84" t="inlineStr">
        <is>
          <t>+ Depreciation</t>
        </is>
      </c>
      <c r="G84" s="20" t="n">
        <v>237</v>
      </c>
      <c r="H84" s="38">
        <f>Assumptions!C113</f>
        <v/>
      </c>
      <c r="I84" s="38">
        <f>Assumptions!D113</f>
        <v/>
      </c>
      <c r="J84" s="38">
        <f>Assumptions!E113</f>
        <v/>
      </c>
      <c r="K84" s="38">
        <f>Assumptions!F113</f>
        <v/>
      </c>
    </row>
    <row r="85">
      <c r="A85" t="inlineStr">
        <is>
          <t>+ Amortization of intangibles</t>
        </is>
      </c>
      <c r="G85" s="20" t="n">
        <v>100</v>
      </c>
      <c r="H85" s="38">
        <f>Assumptions!C109</f>
        <v/>
      </c>
      <c r="I85" s="38">
        <f>Assumptions!D109</f>
        <v/>
      </c>
      <c r="J85" s="38">
        <f>Assumptions!E109</f>
        <v/>
      </c>
      <c r="K85" s="38">
        <f>Assumptions!F109</f>
        <v/>
      </c>
    </row>
    <row r="86">
      <c r="A86" t="inlineStr">
        <is>
          <t>+ Stock-based compensation</t>
        </is>
      </c>
      <c r="B86" s="20" t="n">
        <v>1004.9</v>
      </c>
      <c r="C86" s="20" t="n">
        <v>1101</v>
      </c>
      <c r="D86" s="20" t="n">
        <v>1295</v>
      </c>
      <c r="E86" s="20" t="n">
        <v>1416</v>
      </c>
      <c r="F86" s="20" t="n">
        <v>1519</v>
      </c>
      <c r="G86" s="20" t="n">
        <v>1626</v>
      </c>
      <c r="H86" s="38">
        <f>H29*Assumptions!C35</f>
        <v/>
      </c>
      <c r="I86" s="38">
        <f>I29*Assumptions!D35</f>
        <v/>
      </c>
      <c r="J86" s="38">
        <f>J29*Assumptions!E35</f>
        <v/>
      </c>
      <c r="K86" s="38">
        <f>K29*Assumptions!F35</f>
        <v/>
      </c>
    </row>
    <row r="87">
      <c r="A87" t="inlineStr">
        <is>
          <t>± Change in AR</t>
        </is>
      </c>
      <c r="H87" s="41">
        <f>-(H48-G48)</f>
        <v/>
      </c>
      <c r="I87" s="41">
        <f>-(I48-H48)</f>
        <v/>
      </c>
      <c r="J87" s="41">
        <f>-(J48-I48)</f>
        <v/>
      </c>
      <c r="K87" s="41">
        <f>-(K48-J48)</f>
        <v/>
      </c>
    </row>
    <row r="88">
      <c r="A88" t="inlineStr">
        <is>
          <t>± Change in deferred revenue</t>
        </is>
      </c>
      <c r="H88" s="41">
        <f>H64-G64</f>
        <v/>
      </c>
      <c r="I88" s="41">
        <f>I64-H64</f>
        <v/>
      </c>
      <c r="J88" s="41">
        <f>J64-I64</f>
        <v/>
      </c>
      <c r="K88" s="41">
        <f>K64-J64</f>
        <v/>
      </c>
    </row>
    <row r="89">
      <c r="A89" t="inlineStr">
        <is>
          <t>± Change in accrued comp</t>
        </is>
      </c>
      <c r="H89" s="41">
        <f>H62-G62</f>
        <v/>
      </c>
      <c r="I89" s="41">
        <f>I62-H62</f>
        <v/>
      </c>
      <c r="J89" s="41">
        <f>J62-I62</f>
        <v/>
      </c>
      <c r="K89" s="41">
        <f>K62-J62</f>
        <v/>
      </c>
    </row>
    <row r="90">
      <c r="A90" t="inlineStr">
        <is>
          <t>± Change in AP + accrued other</t>
        </is>
      </c>
      <c r="H90" s="41">
        <f>(H61+H63)-(G61+G63)</f>
        <v/>
      </c>
      <c r="I90" s="41">
        <f>(I61+I63)-(H61+H63)</f>
        <v/>
      </c>
      <c r="J90" s="41">
        <f>(J61+J63)-(I61+I63)</f>
        <v/>
      </c>
      <c r="K90" s="41">
        <f>(K61+K63)-(J61+J63)</f>
        <v/>
      </c>
    </row>
    <row r="91">
      <c r="A91" t="inlineStr">
        <is>
          <t>± Change in prepaid</t>
        </is>
      </c>
      <c r="H91" s="41">
        <f>-(H49-G49)</f>
        <v/>
      </c>
      <c r="I91" s="41">
        <f>-(I49-H49)</f>
        <v/>
      </c>
      <c r="J91" s="41">
        <f>-(J49-I49)</f>
        <v/>
      </c>
      <c r="K91" s="41">
        <f>-(K49-J49)</f>
        <v/>
      </c>
    </row>
    <row r="92">
      <c r="A92" t="inlineStr">
        <is>
          <t>± Change in deferred costs</t>
        </is>
      </c>
      <c r="H92" s="41">
        <f>-((H50+H55)-(G50+G55))</f>
        <v/>
      </c>
      <c r="I92" s="41">
        <f>-((I50+I55)-(H50+H55))</f>
        <v/>
      </c>
      <c r="J92" s="41">
        <f>-((J50+J55)-(I50+I55))</f>
        <v/>
      </c>
      <c r="K92" s="41">
        <f>-((K50+K55)-(J50+J55))</f>
        <v/>
      </c>
    </row>
    <row r="93">
      <c r="A93" s="2" t="inlineStr">
        <is>
          <t>Operating cash flow (=)</t>
        </is>
      </c>
      <c r="B93" s="13" t="n">
        <v>1268.4</v>
      </c>
      <c r="C93" s="13" t="n">
        <v>1651</v>
      </c>
      <c r="D93" s="13" t="n">
        <v>1657</v>
      </c>
      <c r="E93" s="13" t="n">
        <v>2149</v>
      </c>
      <c r="F93" s="13" t="n">
        <v>2461</v>
      </c>
      <c r="G93" s="12" t="n">
        <v>2939</v>
      </c>
      <c r="H93" s="12">
        <f>H83+H84+H85+H86+H87+H88+H89+H90+H91+H92</f>
        <v/>
      </c>
      <c r="I93" s="12">
        <f>I83+I84+I85+I86+I87+I88+I89+I90+I91+I92</f>
        <v/>
      </c>
      <c r="J93" s="12">
        <f>J83+J84+J85+J86+J87+J88+J89+J90+J91+J92</f>
        <v/>
      </c>
      <c r="K93" s="12">
        <f>K83+K84+K85+K86+K87+K88+K89+K90+K91+K92</f>
        <v/>
      </c>
    </row>
    <row r="95">
      <c r="A95" s="3" t="inlineStr">
        <is>
          <t>Investing activities</t>
        </is>
      </c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</row>
    <row r="96">
      <c r="A96" t="inlineStr">
        <is>
          <t>− Capex</t>
        </is>
      </c>
      <c r="D96" s="20" t="n">
        <v>364</v>
      </c>
      <c r="E96" s="20" t="n">
        <v>232</v>
      </c>
      <c r="F96" s="20" t="n">
        <v>269</v>
      </c>
      <c r="G96" s="20" t="n">
        <v>-162</v>
      </c>
      <c r="H96" s="38">
        <f>-Assumptions!C110</f>
        <v/>
      </c>
      <c r="I96" s="38">
        <f>-Assumptions!D110</f>
        <v/>
      </c>
      <c r="J96" s="38">
        <f>-Assumptions!E110</f>
        <v/>
      </c>
      <c r="K96" s="38">
        <f>-Assumptions!F110</f>
        <v/>
      </c>
    </row>
    <row r="97">
      <c r="A97" t="inlineStr">
        <is>
          <t>− Acquisitions</t>
        </is>
      </c>
      <c r="H97" s="38">
        <f>-Assumptions!C118</f>
        <v/>
      </c>
      <c r="I97" s="38">
        <f>-Assumptions!D118</f>
        <v/>
      </c>
      <c r="J97" s="38">
        <f>-Assumptions!E118</f>
        <v/>
      </c>
      <c r="K97" s="38">
        <f>-Assumptions!F118</f>
        <v/>
      </c>
    </row>
    <row r="98">
      <c r="A98" t="inlineStr">
        <is>
          <t>± Net marketable securities</t>
        </is>
      </c>
      <c r="H98" s="38">
        <f>Assumptions!C119</f>
        <v/>
      </c>
      <c r="I98" s="38">
        <f>Assumptions!D119</f>
        <v/>
      </c>
      <c r="J98" s="38">
        <f>Assumptions!E119</f>
        <v/>
      </c>
      <c r="K98" s="38">
        <f>Assumptions!F119</f>
        <v/>
      </c>
    </row>
    <row r="99">
      <c r="A99" s="2" t="inlineStr">
        <is>
          <t>Investing cash flow (=)</t>
        </is>
      </c>
      <c r="G99" s="24" t="n">
        <v>-162</v>
      </c>
      <c r="H99" s="24">
        <f>H96+H97+H98</f>
        <v/>
      </c>
      <c r="I99" s="24">
        <f>I96+I97+I98</f>
        <v/>
      </c>
      <c r="J99" s="24">
        <f>J96+J97+J98</f>
        <v/>
      </c>
      <c r="K99" s="24">
        <f>K96+K97+K98</f>
        <v/>
      </c>
    </row>
    <row r="101">
      <c r="A101" s="3" t="inlineStr">
        <is>
          <t>Financing activities</t>
        </is>
      </c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</row>
    <row r="102">
      <c r="A102" t="inlineStr">
        <is>
          <t>− Buybacks</t>
        </is>
      </c>
      <c r="H102" s="38">
        <f>-Assumptions!C43*G122*Assumptions!C117</f>
        <v/>
      </c>
      <c r="I102" s="38">
        <f>-Assumptions!D43*H122*Assumptions!D117</f>
        <v/>
      </c>
      <c r="J102" s="38">
        <f>-Assumptions!E43*I122*Assumptions!E117</f>
        <v/>
      </c>
      <c r="K102" s="38">
        <f>-Assumptions!F43*J122*Assumptions!F117</f>
        <v/>
      </c>
    </row>
    <row r="103">
      <c r="A103" t="inlineStr">
        <is>
          <t>− Dividends</t>
        </is>
      </c>
      <c r="H103" s="38">
        <f>-Assumptions!C116*(H93+H96)</f>
        <v/>
      </c>
      <c r="I103" s="38">
        <f>-Assumptions!D116*(I93+I96)</f>
        <v/>
      </c>
      <c r="J103" s="38">
        <f>-Assumptions!E116*(J93+J96)</f>
        <v/>
      </c>
      <c r="K103" s="38">
        <f>-Assumptions!F116*(K93+K96)</f>
        <v/>
      </c>
    </row>
    <row r="104">
      <c r="A104" t="inlineStr">
        <is>
          <t>± Net debt</t>
        </is>
      </c>
      <c r="H104" s="38">
        <f>Assumptions!C120</f>
        <v/>
      </c>
      <c r="I104" s="38">
        <f>Assumptions!D120</f>
        <v/>
      </c>
      <c r="J104" s="38">
        <f>Assumptions!E120</f>
        <v/>
      </c>
      <c r="K104" s="38">
        <f>Assumptions!F120</f>
        <v/>
      </c>
    </row>
    <row r="105">
      <c r="A105" s="2" t="inlineStr">
        <is>
          <t>Financing cash flow (=)</t>
        </is>
      </c>
      <c r="H105" s="24">
        <f>H102+H103+H104</f>
        <v/>
      </c>
      <c r="I105" s="24">
        <f>I102+I103+I104</f>
        <v/>
      </c>
      <c r="J105" s="24">
        <f>J102+J103+J104</f>
        <v/>
      </c>
      <c r="K105" s="24">
        <f>K102+K103+K104</f>
        <v/>
      </c>
    </row>
    <row r="107">
      <c r="A107" s="2" t="inlineStr">
        <is>
          <t>Net change in cash</t>
        </is>
      </c>
      <c r="H107" s="38">
        <f>H93+H99+H105</f>
        <v/>
      </c>
      <c r="I107" s="38">
        <f>I93+I99+I105</f>
        <v/>
      </c>
      <c r="J107" s="38">
        <f>J93+J99+J105</f>
        <v/>
      </c>
      <c r="K107" s="38">
        <f>K93+K99+K105</f>
        <v/>
      </c>
    </row>
    <row r="108">
      <c r="A108" s="2" t="inlineStr">
        <is>
          <t>Beginning cash</t>
        </is>
      </c>
      <c r="G108" s="20" t="n">
        <v>1501</v>
      </c>
      <c r="H108" s="38">
        <f>G46</f>
        <v/>
      </c>
      <c r="I108" s="38">
        <f>H46</f>
        <v/>
      </c>
      <c r="J108" s="38">
        <f>I46</f>
        <v/>
      </c>
      <c r="K108" s="38">
        <f>J46</f>
        <v/>
      </c>
    </row>
    <row r="109">
      <c r="A109" s="2" t="inlineStr">
        <is>
          <t>Ending cash (= BS cash)</t>
        </is>
      </c>
      <c r="G109" s="24" t="n">
        <v>1501</v>
      </c>
      <c r="H109" s="24">
        <f>H108+H107</f>
        <v/>
      </c>
      <c r="I109" s="24">
        <f>I108+I107</f>
        <v/>
      </c>
      <c r="J109" s="24">
        <f>J108+J107</f>
        <v/>
      </c>
      <c r="K109" s="24">
        <f>K108+K107</f>
        <v/>
      </c>
    </row>
    <row r="111">
      <c r="A111" s="2" t="inlineStr">
        <is>
          <t>Free cash flow (= CFO − Capex)</t>
        </is>
      </c>
      <c r="B111" s="12">
        <f>IFERROR(B93+B96,B93)</f>
        <v/>
      </c>
      <c r="C111" s="12">
        <f>IFERROR(C93+C96,C93)</f>
        <v/>
      </c>
      <c r="D111" s="12">
        <f>IFERROR(D93+D96,D93)</f>
        <v/>
      </c>
      <c r="E111" s="12">
        <f>IFERROR(E93+E96,E93)</f>
        <v/>
      </c>
      <c r="F111" s="12">
        <f>IFERROR(F93+F96,F93)</f>
        <v/>
      </c>
      <c r="G111" s="12">
        <f>IFERROR(G93+G96,G93)</f>
        <v/>
      </c>
      <c r="H111" s="33">
        <f>IFERROR(H93+H96,H93)</f>
        <v/>
      </c>
      <c r="I111" s="33">
        <f>IFERROR(I93+I96,I93)</f>
        <v/>
      </c>
      <c r="J111" s="33">
        <f>IFERROR(J93+J96,J93)</f>
        <v/>
      </c>
      <c r="K111" s="33">
        <f>IFERROR(K93+K96,K93)</f>
        <v/>
      </c>
      <c r="M111" s="10">
        <f>IFERROR(IF(OR(B111&lt;=0,F111&lt;=0),"N/M",(F111/B111)^(1/4)-1), "N/M")</f>
        <v/>
      </c>
      <c r="N111" s="10">
        <f>IFERROR(IF(OR(G111&lt;=0,K111&lt;=0),"N/M",(K111/G111)^(1/4)-1), "N/M")</f>
        <v/>
      </c>
    </row>
    <row r="112">
      <c r="A112" t="inlineStr">
        <is>
          <t>SBC (memo)</t>
        </is>
      </c>
      <c r="B112" s="20" t="n">
        <v>1004.9</v>
      </c>
      <c r="C112" s="20" t="n">
        <v>1101</v>
      </c>
      <c r="D112" s="20" t="n">
        <v>1295</v>
      </c>
      <c r="E112" s="20" t="n">
        <v>1416</v>
      </c>
      <c r="F112" s="20" t="n">
        <v>1519</v>
      </c>
      <c r="G112" s="20" t="n">
        <v>1626</v>
      </c>
      <c r="H112" s="38">
        <f>H29*Assumptions!C35</f>
        <v/>
      </c>
      <c r="I112" s="38">
        <f>I29*Assumptions!D35</f>
        <v/>
      </c>
      <c r="J112" s="38">
        <f>J29*Assumptions!E35</f>
        <v/>
      </c>
      <c r="K112" s="38">
        <f>K29*Assumptions!F35</f>
        <v/>
      </c>
      <c r="M112" s="10">
        <f>IFERROR(IF(OR(B112&lt;=0,F112&lt;=0),"N/M",(F112/B112)^(1/4)-1), "N/M")</f>
        <v/>
      </c>
      <c r="N112" s="10">
        <f>IFERROR(IF(OR(G112&lt;=0,K112&lt;=0),"N/M",(K112/G112)^(1/4)-1), "N/M")</f>
        <v/>
      </c>
    </row>
    <row r="113">
      <c r="A113" s="2" t="inlineStr">
        <is>
          <t>FCF − SBC</t>
        </is>
      </c>
      <c r="B113" s="24">
        <f>B111-B112</f>
        <v/>
      </c>
      <c r="C113" s="24">
        <f>C111-C112</f>
        <v/>
      </c>
      <c r="D113" s="24">
        <f>D111-D112</f>
        <v/>
      </c>
      <c r="E113" s="24">
        <f>E111-E112</f>
        <v/>
      </c>
      <c r="F113" s="24">
        <f>F111-F112</f>
        <v/>
      </c>
      <c r="G113" s="24">
        <f>G111-G112</f>
        <v/>
      </c>
      <c r="H113" s="38">
        <f>H111-H112</f>
        <v/>
      </c>
      <c r="I113" s="38">
        <f>I111-I112</f>
        <v/>
      </c>
      <c r="J113" s="38">
        <f>J111-J112</f>
        <v/>
      </c>
      <c r="K113" s="38">
        <f>K111-K112</f>
        <v/>
      </c>
      <c r="M113" s="10">
        <f>IFERROR(IF(OR(B113&lt;=0,F113&lt;=0),"N/M",(F113/B113)^(1/4)-1), "N/M")</f>
        <v/>
      </c>
      <c r="N113" s="10">
        <f>IFERROR(IF(OR(G113&lt;=0,K113&lt;=0),"N/M",(K113/G113)^(1/4)-1), "N/M")</f>
        <v/>
      </c>
    </row>
    <row r="115">
      <c r="A115" s="36" t="inlineStr">
        <is>
          <t>CAPITAL RETURN</t>
        </is>
      </c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</row>
    <row r="116">
      <c r="A116" s="2" t="inlineStr">
        <is>
          <t>Dividends paid total ($M)</t>
        </is>
      </c>
      <c r="H116" s="24">
        <f>-H103</f>
        <v/>
      </c>
      <c r="I116" s="24">
        <f>-I103</f>
        <v/>
      </c>
      <c r="J116" s="24">
        <f>-J103</f>
        <v/>
      </c>
      <c r="K116" s="24">
        <f>-K103</f>
        <v/>
      </c>
    </row>
    <row r="117">
      <c r="A117" s="2" t="inlineStr">
        <is>
          <t>Dividends paid per share ($/sh)</t>
        </is>
      </c>
      <c r="H117" s="42">
        <f>IFERROR(H116/H122,0)</f>
        <v/>
      </c>
      <c r="I117" s="42">
        <f>IFERROR(I116/I122,0)</f>
        <v/>
      </c>
      <c r="J117" s="42">
        <f>IFERROR(J116/J122,0)</f>
        <v/>
      </c>
      <c r="K117" s="42">
        <f>IFERROR(K116/K122,0)</f>
        <v/>
      </c>
    </row>
    <row r="118">
      <c r="A118" s="2" t="inlineStr">
        <is>
          <t>Cumulative dividends per share ($/sh)</t>
        </is>
      </c>
      <c r="H118" s="42">
        <f>H117</f>
        <v/>
      </c>
      <c r="I118" s="42">
        <f>H118+I117</f>
        <v/>
      </c>
      <c r="J118" s="42">
        <f>I118+J117</f>
        <v/>
      </c>
      <c r="K118" s="42">
        <f>J118+K117</f>
        <v/>
      </c>
    </row>
    <row r="119">
      <c r="A119" t="inlineStr">
        <is>
          <t>Buybacks total ($M)</t>
        </is>
      </c>
      <c r="H119" s="38">
        <f>-H102</f>
        <v/>
      </c>
      <c r="I119" s="38">
        <f>-I102</f>
        <v/>
      </c>
      <c r="J119" s="38">
        <f>-J102</f>
        <v/>
      </c>
      <c r="K119" s="38">
        <f>-K102</f>
        <v/>
      </c>
    </row>
    <row r="121">
      <c r="A121" s="3" t="inlineStr">
        <is>
          <t>Per-share</t>
        </is>
      </c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</row>
    <row r="122">
      <c r="A122" t="inlineStr">
        <is>
          <t>Diluted shares (M)</t>
        </is>
      </c>
      <c r="B122" s="11" t="n">
        <v>237</v>
      </c>
      <c r="C122" s="11" t="n">
        <v>254</v>
      </c>
      <c r="D122" s="11" t="n">
        <v>254.8</v>
      </c>
      <c r="E122" s="11" t="n">
        <v>265.3</v>
      </c>
      <c r="F122" s="11" t="n">
        <v>269.2</v>
      </c>
      <c r="G122" s="11" t="n">
        <v>268.1</v>
      </c>
      <c r="H122" s="31">
        <f>G122*(1-Assumptions!C43)</f>
        <v/>
      </c>
      <c r="I122" s="31">
        <f>H122*(1-Assumptions!D43)</f>
        <v/>
      </c>
      <c r="J122" s="31">
        <f>I122*(1-Assumptions!E43)</f>
        <v/>
      </c>
      <c r="K122" s="31">
        <f>J122*(1-Assumptions!F43)</f>
        <v/>
      </c>
      <c r="M122" s="10">
        <f>IFERROR(IF(OR(B122&lt;=0,F122&lt;=0),"N/M",(F122/B122)^(1/4)-1), "N/M")</f>
        <v/>
      </c>
      <c r="N122" s="10">
        <f>IFERROR(IF(OR(G122&lt;=0,K122&lt;=0),"N/M",(K122/G122)^(1/4)-1), "N/M")</f>
        <v/>
      </c>
    </row>
    <row r="123">
      <c r="A123" t="inlineStr">
        <is>
          <t>FCF / share</t>
        </is>
      </c>
      <c r="B123" s="6">
        <f>IFERROR(B111/B122,"")</f>
        <v/>
      </c>
      <c r="C123" s="6">
        <f>IFERROR(C111/C122,"")</f>
        <v/>
      </c>
      <c r="D123" s="6">
        <f>IFERROR(D111/D122,"")</f>
        <v/>
      </c>
      <c r="E123" s="6">
        <f>IFERROR(E111/E122,"")</f>
        <v/>
      </c>
      <c r="F123" s="6">
        <f>IFERROR(F111/F122,"")</f>
        <v/>
      </c>
      <c r="G123" s="6">
        <f>IFERROR(G111/G122,"")</f>
        <v/>
      </c>
      <c r="H123" s="32">
        <f>IFERROR(H111/H122,"")</f>
        <v/>
      </c>
      <c r="I123" s="32">
        <f>IFERROR(I111/I122,"")</f>
        <v/>
      </c>
      <c r="J123" s="32">
        <f>IFERROR(J111/J122,"")</f>
        <v/>
      </c>
      <c r="K123" s="32">
        <f>IFERROR(K111/K122,"")</f>
        <v/>
      </c>
      <c r="M123" s="10">
        <f>IFERROR(IF(OR(B123&lt;=0,F123&lt;=0),"N/M",(F123/B123)^(1/4)-1), "N/M")</f>
        <v/>
      </c>
      <c r="N123" s="10">
        <f>IFERROR(IF(OR(G123&lt;=0,K123&lt;=0),"N/M",(K123/G123)^(1/4)-1), "N/M")</f>
        <v/>
      </c>
    </row>
    <row r="124">
      <c r="A124" t="inlineStr">
        <is>
          <t>12-mo backlog ($M)</t>
        </is>
      </c>
      <c r="E124" s="13" t="n">
        <v>6602</v>
      </c>
      <c r="F124" s="13" t="n">
        <v>7631</v>
      </c>
      <c r="G124" s="13" t="n">
        <v>8833</v>
      </c>
      <c r="H124" s="33">
        <f>G124*(1+Assumptions!C15)</f>
        <v/>
      </c>
      <c r="I124" s="33">
        <f>H124*(1+Assumptions!D15)</f>
        <v/>
      </c>
      <c r="J124" s="33">
        <f>I124*(1+Assumptions!E15)</f>
        <v/>
      </c>
      <c r="K124" s="33">
        <f>J124*(1+Assumptions!F15)</f>
        <v/>
      </c>
      <c r="M124" s="10">
        <f>IFERROR(IF(OR(B124&lt;=0,F124&lt;=0),"N/M",(F124/B124)^(1/4)-1), "N/M")</f>
        <v/>
      </c>
      <c r="N124" s="10">
        <f>IFERROR(IF(OR(G124&lt;=0,K124&lt;=0),"N/M",(K124/G124)^(1/4)-1), "N/M")</f>
        <v/>
      </c>
    </row>
    <row r="126">
      <c r="A126" s="3" t="inlineStr">
        <is>
          <t>Valuation (terminal = FY30)</t>
        </is>
      </c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</row>
    <row r="127">
      <c r="A127" s="2" t="inlineStr">
        <is>
          <t>Exit ARR multiple (× FY30 backlog)</t>
        </is>
      </c>
      <c r="K127" s="43">
        <f>Assumptions!C47</f>
        <v/>
      </c>
      <c r="L127" s="44" t="inlineStr">
        <is>
          <t>source: Assumptions!C47</t>
        </is>
      </c>
    </row>
    <row r="128">
      <c r="A128" s="2" t="inlineStr">
        <is>
          <t>Exit FCF multiple (× FY30 FCF)</t>
        </is>
      </c>
      <c r="K128" s="45">
        <f>Assumptions!C50</f>
        <v/>
      </c>
      <c r="L128" s="44" t="inlineStr">
        <is>
          <t>source: Assumptions!C50</t>
        </is>
      </c>
    </row>
    <row r="129">
      <c r="A129" s="2" t="inlineStr">
        <is>
          <t>Target ($/sh, ARR-lens)</t>
        </is>
      </c>
      <c r="J129" s="34">
        <f>(Assumptions!C47*J124+Assumptions!B7*1000)/J122</f>
        <v/>
      </c>
      <c r="K129" s="34">
        <f>(Assumptions!C47*K124+Assumptions!B7*1000)/K122</f>
        <v/>
      </c>
    </row>
    <row r="130">
      <c r="A130" s="2" t="inlineStr">
        <is>
          <t>Target ($/sh, FCF-lens)</t>
        </is>
      </c>
      <c r="J130" s="34">
        <f>(Assumptions!C50*J111+Assumptions!B7*1000)/J122</f>
        <v/>
      </c>
      <c r="K130" s="34">
        <f>(Assumptions!C50*K111+Assumptions!B7*1000)/K122</f>
        <v/>
      </c>
    </row>
    <row r="131">
      <c r="A131" s="2" t="inlineStr">
        <is>
          <t>Target (blended) — used as terminal $/sh in TSR</t>
        </is>
      </c>
      <c r="J131" s="46">
        <f>AVERAGE(J129,J130)</f>
        <v/>
      </c>
      <c r="K131" s="46">
        <f>AVERAGE(K129,K130)</f>
        <v/>
      </c>
    </row>
    <row r="133">
      <c r="A133" s="36" t="inlineStr">
        <is>
          <t>TOTAL SHAREHOLDER RETURN</t>
        </is>
      </c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</row>
    <row r="134">
      <c r="A134" t="inlineStr">
        <is>
          <t>Entry price source:</t>
        </is>
      </c>
      <c r="B134" s="6">
        <f>Assumptions!B4</f>
        <v/>
      </c>
      <c r="C134" s="44" t="inlineStr">
        <is>
          <t>Assumptions!B4 (anchor inputs)</t>
        </is>
      </c>
    </row>
    <row r="135">
      <c r="A135" s="2" t="inlineStr">
        <is>
          <t>Metric</t>
        </is>
      </c>
      <c r="J135" s="17" t="inlineStr">
        <is>
          <t>3-yr (FY29)</t>
        </is>
      </c>
      <c r="K135" s="17" t="inlineStr">
        <is>
          <t>4-yr (FY30)</t>
        </is>
      </c>
    </row>
    <row r="136">
      <c r="A136" t="inlineStr">
        <is>
          <t>Entry price ($/sh)</t>
        </is>
      </c>
      <c r="J136" s="6">
        <f>Assumptions!B4</f>
        <v/>
      </c>
      <c r="K136" s="6">
        <f>Assumptions!B4</f>
        <v/>
      </c>
      <c r="L136" s="44" t="inlineStr">
        <is>
          <t>Assumptions!B4</t>
        </is>
      </c>
    </row>
    <row r="137">
      <c r="A137" s="2" t="inlineStr">
        <is>
          <t>Terminal price ($/sh)</t>
        </is>
      </c>
      <c r="J137" s="6">
        <f>J131</f>
        <v/>
      </c>
      <c r="K137" s="6">
        <f>K131</f>
        <v/>
      </c>
      <c r="L137" s="44" t="inlineStr">
        <is>
          <t>J/K of Target (blended) row 131</t>
        </is>
      </c>
    </row>
    <row r="138">
      <c r="A138" t="inlineStr">
        <is>
          <t>Price Δ ($/sh)</t>
        </is>
      </c>
      <c r="J138" s="7">
        <f>J137-J136</f>
        <v/>
      </c>
      <c r="K138" s="7">
        <f>K137-K136</f>
        <v/>
      </c>
    </row>
    <row r="139">
      <c r="A139" t="inlineStr">
        <is>
          <t>Cumulative dividends ($/sh)</t>
        </is>
      </c>
      <c r="J139" s="6">
        <f>J118</f>
        <v/>
      </c>
      <c r="K139" s="6">
        <f>K118</f>
        <v/>
      </c>
      <c r="L139" s="44" t="inlineStr">
        <is>
          <t>From Capital Return cumulative dividends row</t>
        </is>
      </c>
    </row>
    <row r="140">
      <c r="A140" t="inlineStr">
        <is>
          <t>Cumulative buyback dollars ($M)</t>
        </is>
      </c>
      <c r="J140" s="8">
        <f>SUM(H119:J119)</f>
        <v/>
      </c>
      <c r="K140" s="8">
        <f>SUM(H119:K119)</f>
        <v/>
      </c>
      <c r="L140" s="44" t="inlineStr">
        <is>
          <t>SUM of Buybacks total row (119)</t>
        </is>
      </c>
    </row>
    <row r="141">
      <c r="A141" t="inlineStr">
        <is>
          <t>Implied buyback value / surviving share ($/sh)</t>
        </is>
      </c>
      <c r="J141" s="6">
        <f>J140/J122</f>
        <v/>
      </c>
      <c r="K141" s="6">
        <f>K140/K122</f>
        <v/>
      </c>
      <c r="L141" s="44">
        <f> cum BB $M / diluted shares row 122</f>
        <v/>
      </c>
    </row>
    <row r="143">
      <c r="A143" s="3" t="inlineStr">
        <is>
          <t>TSR DECOMPOSITION (% of entry price)</t>
        </is>
      </c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</row>
    <row r="144">
      <c r="A144" t="inlineStr">
        <is>
          <t>Price appreciation contribution (%)</t>
        </is>
      </c>
      <c r="J144" s="39">
        <f>J138/J136</f>
        <v/>
      </c>
      <c r="K144" s="39">
        <f>K138/K136</f>
        <v/>
      </c>
    </row>
    <row r="145">
      <c r="A145" t="inlineStr">
        <is>
          <t>Dividend contribution (%)</t>
        </is>
      </c>
      <c r="J145" s="39">
        <f>J139/J136</f>
        <v/>
      </c>
      <c r="K145" s="39">
        <f>K139/K136</f>
        <v/>
      </c>
    </row>
    <row r="146">
      <c r="A146" t="inlineStr">
        <is>
          <t>Buyback accretion contribution (%)</t>
        </is>
      </c>
      <c r="J146" s="39">
        <f>J141/J136</f>
        <v/>
      </c>
      <c r="K146" s="39">
        <f>K141/K136</f>
        <v/>
      </c>
    </row>
    <row r="147">
      <c r="A147" s="2" t="inlineStr">
        <is>
          <t>Total TSR % (= sum of 3 components)</t>
        </is>
      </c>
      <c r="J147" s="47">
        <f>J144+J145+J146</f>
        <v/>
      </c>
      <c r="K147" s="47">
        <f>K144+K145+K146</f>
        <v/>
      </c>
    </row>
    <row r="148">
      <c r="A148" s="2" t="inlineStr">
        <is>
          <t>IRR (annualized, %)</t>
        </is>
      </c>
      <c r="J148" s="9">
        <f>(1+J147)^(1/3)-1</f>
        <v/>
      </c>
      <c r="K148" s="9">
        <f>(1+K147)^(1/4)-1</f>
        <v/>
      </c>
    </row>
    <row r="149">
      <c r="A149" s="44" t="inlineStr">
        <is>
          <t>Sanity: components sum (should match Total TSR)</t>
        </is>
      </c>
      <c r="J149" s="39">
        <f>J144+J145+J146</f>
        <v/>
      </c>
      <c r="K149" s="39">
        <f>K144+K145+K146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Run For Cash</t>
        </is>
      </c>
    </row>
    <row r="3">
      <c r="A3" s="2" t="inlineStr">
        <is>
          <t>Period</t>
        </is>
      </c>
      <c r="B3" s="25" t="inlineStr">
        <is>
          <t>Actual</t>
        </is>
      </c>
      <c r="C3" s="25" t="inlineStr">
        <is>
          <t>Actual</t>
        </is>
      </c>
      <c r="D3" s="25" t="inlineStr">
        <is>
          <t>Actual</t>
        </is>
      </c>
      <c r="E3" s="25" t="inlineStr">
        <is>
          <t>Actual</t>
        </is>
      </c>
      <c r="F3" s="25" t="inlineStr">
        <is>
          <t>Actual</t>
        </is>
      </c>
      <c r="G3" s="25" t="inlineStr">
        <is>
          <t>Actual</t>
        </is>
      </c>
      <c r="H3" s="26" t="inlineStr">
        <is>
          <t>Forecast</t>
        </is>
      </c>
      <c r="I3" s="26" t="inlineStr">
        <is>
          <t>Forecast</t>
        </is>
      </c>
      <c r="J3" s="26" t="inlineStr">
        <is>
          <t>Forecast</t>
        </is>
      </c>
      <c r="K3" s="26" t="inlineStr">
        <is>
          <t>Forecast</t>
        </is>
      </c>
      <c r="L3" t="inlineStr"/>
      <c r="M3" s="27" t="inlineStr">
        <is>
          <t>CAGR</t>
        </is>
      </c>
      <c r="N3" s="27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8" t="inlineStr">
        <is>
          <t>FY27E</t>
        </is>
      </c>
      <c r="I4" s="28" t="inlineStr">
        <is>
          <t>FY28E</t>
        </is>
      </c>
      <c r="J4" s="28" t="inlineStr">
        <is>
          <t>FY29E</t>
        </is>
      </c>
      <c r="K4" s="28" t="inlineStr">
        <is>
          <t>FY30E</t>
        </is>
      </c>
      <c r="L4" t="inlineStr"/>
      <c r="M4" s="29" t="inlineStr">
        <is>
          <t>CAGR FY21-25</t>
        </is>
      </c>
      <c r="N4" s="29" t="inlineStr">
        <is>
          <t>CAGR FY26-30</t>
        </is>
      </c>
    </row>
    <row r="5">
      <c r="A5" s="30" t="inlineStr">
        <is>
          <t>REVENUE BUILD (driven by Assumptions Unit Economics block)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31">
        <f>Assumptions!C71</f>
        <v/>
      </c>
      <c r="I6" s="31">
        <f>Assumptions!D71</f>
        <v/>
      </c>
      <c r="J6" s="31">
        <f>Assumptions!E71</f>
        <v/>
      </c>
      <c r="K6" s="31">
        <f>Assumptions!F71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2">
        <f>Assumptions!C75</f>
        <v/>
      </c>
      <c r="I7" s="32">
        <f>Assumptions!D75</f>
        <v/>
      </c>
      <c r="J7" s="32">
        <f>Assumptions!E75</f>
        <v/>
      </c>
      <c r="K7" s="32">
        <f>Assumptions!F75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3">
        <f>H6*H7*12</f>
        <v/>
      </c>
      <c r="I8" s="33">
        <f>I6*I7*12</f>
        <v/>
      </c>
      <c r="J8" s="33">
        <f>J6*J7*12</f>
        <v/>
      </c>
      <c r="K8" s="33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3">
        <f>Assumptions!C83</f>
        <v/>
      </c>
      <c r="I9" s="33">
        <f>Assumptions!D83</f>
        <v/>
      </c>
      <c r="J9" s="33">
        <f>Assumptions!E83</f>
        <v/>
      </c>
      <c r="K9" s="33">
        <f>Assumptions!F83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4">
        <f>Assumptions!C87</f>
        <v/>
      </c>
      <c r="I10" s="34">
        <f>Assumptions!D87</f>
        <v/>
      </c>
      <c r="J10" s="34">
        <f>Assumptions!E87</f>
        <v/>
      </c>
      <c r="K10" s="34">
        <f>Assumptions!F87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3">
        <f>H9*H10/1000</f>
        <v/>
      </c>
      <c r="I11" s="33">
        <f>I9*I10/1000</f>
        <v/>
      </c>
      <c r="J11" s="33">
        <f>J9*J10/1000</f>
        <v/>
      </c>
      <c r="K11" s="33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3">
        <f>Revenue_Build!B29</f>
        <v/>
      </c>
      <c r="I12" s="33">
        <f>Revenue_Build!C29</f>
        <v/>
      </c>
      <c r="J12" s="33">
        <f>Revenue_Build!D29</f>
        <v/>
      </c>
      <c r="K12" s="33">
        <f>Revenue_Build!E29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3">
        <f>Revenue_Build!B30</f>
        <v/>
      </c>
      <c r="I13" s="33">
        <f>Revenue_Build!C30</f>
        <v/>
      </c>
      <c r="J13" s="33">
        <f>Revenue_Build!D30</f>
        <v/>
      </c>
      <c r="K13" s="33">
        <f>Revenue_Build!E30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3">
        <f>Revenue_Build!B32</f>
        <v/>
      </c>
      <c r="I14" s="33">
        <f>Revenue_Build!C32</f>
        <v/>
      </c>
      <c r="J14" s="33">
        <f>Revenue_Build!D32</f>
        <v/>
      </c>
      <c r="K14" s="33">
        <f>Revenue_Build!E32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3">
        <f>H8+H11+H13+H14</f>
        <v/>
      </c>
      <c r="I15" s="33">
        <f>I8+I11+I13+I14</f>
        <v/>
      </c>
      <c r="J15" s="33">
        <f>J8+J11+J13+J14</f>
        <v/>
      </c>
      <c r="K15" s="33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</row>
    <row r="18">
      <c r="A18" t="inlineStr">
        <is>
          <t>Revenue growth %</t>
        </is>
      </c>
      <c r="H18" s="35">
        <f>Assumptions!C12</f>
        <v/>
      </c>
      <c r="I18" s="35">
        <f>Assumptions!D12</f>
        <v/>
      </c>
      <c r="J18" s="35">
        <f>Assumptions!E12</f>
        <v/>
      </c>
      <c r="K18" s="35">
        <f>Assumptions!F12</f>
        <v/>
      </c>
    </row>
    <row r="19">
      <c r="A19" t="inlineStr">
        <is>
          <t>Backlog growth %</t>
        </is>
      </c>
      <c r="H19" s="35">
        <f>Assumptions!C16</f>
        <v/>
      </c>
      <c r="I19" s="35">
        <f>Assumptions!D16</f>
        <v/>
      </c>
      <c r="J19" s="35">
        <f>Assumptions!E16</f>
        <v/>
      </c>
      <c r="K19" s="35">
        <f>Assumptions!F16</f>
        <v/>
      </c>
    </row>
    <row r="20">
      <c r="A20" t="inlineStr">
        <is>
          <t>Cost of rev (% rev)</t>
        </is>
      </c>
      <c r="H20" s="35">
        <f>Assumptions!C20</f>
        <v/>
      </c>
      <c r="I20" s="35">
        <f>Assumptions!D20</f>
        <v/>
      </c>
      <c r="J20" s="35">
        <f>Assumptions!E20</f>
        <v/>
      </c>
      <c r="K20" s="35">
        <f>Assumptions!F20</f>
        <v/>
      </c>
    </row>
    <row r="21">
      <c r="A21" t="inlineStr">
        <is>
          <t>R&amp;D (% rev)</t>
        </is>
      </c>
      <c r="H21" s="35">
        <f>Assumptions!C24</f>
        <v/>
      </c>
      <c r="I21" s="35">
        <f>Assumptions!D24</f>
        <v/>
      </c>
      <c r="J21" s="35">
        <f>Assumptions!E24</f>
        <v/>
      </c>
      <c r="K21" s="35">
        <f>Assumptions!F24</f>
        <v/>
      </c>
    </row>
    <row r="22">
      <c r="A22" t="inlineStr">
        <is>
          <t>S&amp;M (% rev)</t>
        </is>
      </c>
      <c r="H22" s="35">
        <f>Assumptions!C28</f>
        <v/>
      </c>
      <c r="I22" s="35">
        <f>Assumptions!D28</f>
        <v/>
      </c>
      <c r="J22" s="35">
        <f>Assumptions!E28</f>
        <v/>
      </c>
      <c r="K22" s="35">
        <f>Assumptions!F28</f>
        <v/>
      </c>
    </row>
    <row r="23">
      <c r="A23" t="inlineStr">
        <is>
          <t>G&amp;A (% rev)</t>
        </is>
      </c>
      <c r="H23" s="35">
        <f>Assumptions!C32</f>
        <v/>
      </c>
      <c r="I23" s="35">
        <f>Assumptions!D32</f>
        <v/>
      </c>
      <c r="J23" s="35">
        <f>Assumptions!E32</f>
        <v/>
      </c>
      <c r="K23" s="35">
        <f>Assumptions!F32</f>
        <v/>
      </c>
    </row>
    <row r="24">
      <c r="A24" t="inlineStr">
        <is>
          <t>SBC (% rev)</t>
        </is>
      </c>
      <c r="H24" s="35">
        <f>Assumptions!C36</f>
        <v/>
      </c>
      <c r="I24" s="35">
        <f>Assumptions!D36</f>
        <v/>
      </c>
      <c r="J24" s="35">
        <f>Assumptions!E36</f>
        <v/>
      </c>
      <c r="K24" s="35">
        <f>Assumptions!F36</f>
        <v/>
      </c>
    </row>
    <row r="25">
      <c r="A25" t="inlineStr">
        <is>
          <t>CFO margin</t>
        </is>
      </c>
      <c r="H25" s="35">
        <f>Assumptions!C40</f>
        <v/>
      </c>
      <c r="I25" s="35">
        <f>Assumptions!D40</f>
        <v/>
      </c>
      <c r="J25" s="35">
        <f>Assumptions!E40</f>
        <v/>
      </c>
      <c r="K25" s="35">
        <f>Assumptions!F40</f>
        <v/>
      </c>
    </row>
    <row r="26">
      <c r="A26" t="inlineStr">
        <is>
          <t>Buyback (%/yr)</t>
        </is>
      </c>
      <c r="H26" s="35">
        <f>Assumptions!C44</f>
        <v/>
      </c>
      <c r="I26" s="35">
        <f>Assumptions!D44</f>
        <v/>
      </c>
      <c r="J26" s="35">
        <f>Assumptions!E44</f>
        <v/>
      </c>
      <c r="K26" s="35">
        <f>Assumptions!F44</f>
        <v/>
      </c>
    </row>
    <row r="28">
      <c r="A28" s="36" t="inlineStr">
        <is>
          <t>INCOME STATEMENT</t>
        </is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3">
        <f>H15</f>
        <v/>
      </c>
      <c r="I29" s="33">
        <f>I15</f>
        <v/>
      </c>
      <c r="J29" s="33">
        <f>J15</f>
        <v/>
      </c>
      <c r="K29" s="33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8">
        <f>H29*Assumptions!C20</f>
        <v/>
      </c>
      <c r="I30" s="38">
        <f>I29*Assumptions!D20</f>
        <v/>
      </c>
      <c r="J30" s="38">
        <f>J29*Assumptions!E20</f>
        <v/>
      </c>
      <c r="K30" s="38">
        <f>K29*Assumptions!F20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3">
        <f>H29-H30</f>
        <v/>
      </c>
      <c r="I31" s="33">
        <f>I29-I30</f>
        <v/>
      </c>
      <c r="J31" s="33">
        <f>J29-J30</f>
        <v/>
      </c>
      <c r="K31" s="33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8">
        <f>H29*Assumptions!C24</f>
        <v/>
      </c>
      <c r="I32" s="38">
        <f>I29*Assumptions!D24</f>
        <v/>
      </c>
      <c r="J32" s="38">
        <f>J29*Assumptions!E24</f>
        <v/>
      </c>
      <c r="K32" s="38">
        <f>K29*Assumptions!F24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8">
        <f>H29*Assumptions!C28</f>
        <v/>
      </c>
      <c r="I33" s="38">
        <f>I29*Assumptions!D28</f>
        <v/>
      </c>
      <c r="J33" s="38">
        <f>J29*Assumptions!E28</f>
        <v/>
      </c>
      <c r="K33" s="38">
        <f>K29*Assumptions!F28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8">
        <f>H29*Assumptions!C32</f>
        <v/>
      </c>
      <c r="I34" s="38">
        <f>I29*Assumptions!D32</f>
        <v/>
      </c>
      <c r="J34" s="38">
        <f>J29*Assumptions!E32</f>
        <v/>
      </c>
      <c r="K34" s="38">
        <f>K29*Assumptions!F32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8">
        <f>H31-H32-H33-H34-Assumptions!C100</f>
        <v/>
      </c>
      <c r="I35" s="38">
        <f>I31-I32-I33-I34-Assumptions!D100</f>
        <v/>
      </c>
      <c r="J35" s="38">
        <f>J31-J32-J33-J34-Assumptions!E100</f>
        <v/>
      </c>
      <c r="K35" s="38">
        <f>K31-K32-K33-K34-Assumptions!F100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5">
        <f>IFERROR(H35/H29,"")</f>
        <v/>
      </c>
      <c r="I36" s="35">
        <f>IFERROR(I35/I29,"")</f>
        <v/>
      </c>
      <c r="J36" s="35">
        <f>IFERROR(J35/J29,"")</f>
        <v/>
      </c>
      <c r="K36" s="35">
        <f>IFERROR(K35/K29,"")</f>
        <v/>
      </c>
      <c r="M36" s="39">
        <f>IFERROR(F36-B36, "")</f>
        <v/>
      </c>
      <c r="N36" s="39">
        <f>IFERROR(K36-G36, "")</f>
        <v/>
      </c>
    </row>
    <row r="37">
      <c r="A37" t="inlineStr">
        <is>
          <t>Interest income (% × prior cash+sec)</t>
        </is>
      </c>
      <c r="G37" s="13" t="n">
        <v>318</v>
      </c>
      <c r="H37" s="33">
        <f>Assumptions!C97*(G46+G47)</f>
        <v/>
      </c>
      <c r="I37" s="33">
        <f>Assumptions!D97*(H46+H47)</f>
        <v/>
      </c>
      <c r="J37" s="33">
        <f>Assumptions!E97*(I46+I47)</f>
        <v/>
      </c>
      <c r="K37" s="33">
        <f>Assumptions!F97*(J46+J47)</f>
        <v/>
      </c>
    </row>
    <row r="38">
      <c r="A38" t="inlineStr">
        <is>
          <t>Interest expense (% × debt)</t>
        </is>
      </c>
      <c r="G38" s="20" t="n">
        <v>-105</v>
      </c>
      <c r="H38" s="38">
        <f>-Assumptions!C98*H68</f>
        <v/>
      </c>
      <c r="I38" s="38">
        <f>-Assumptions!D98*I68</f>
        <v/>
      </c>
      <c r="J38" s="38">
        <f>-Assumptions!E98*J68</f>
        <v/>
      </c>
      <c r="K38" s="38">
        <f>-Assumptions!F98*K68</f>
        <v/>
      </c>
    </row>
    <row r="39">
      <c r="A39" s="2" t="inlineStr">
        <is>
          <t>Pre-tax income</t>
        </is>
      </c>
      <c r="G39" s="20" t="n">
        <v>1009</v>
      </c>
      <c r="H39" s="38">
        <f>H35+H37+H38</f>
        <v/>
      </c>
      <c r="I39" s="38">
        <f>I35+I37+I38</f>
        <v/>
      </c>
      <c r="J39" s="38">
        <f>J35+J37+J38</f>
        <v/>
      </c>
      <c r="K39" s="38">
        <f>K35+K37+K38</f>
        <v/>
      </c>
    </row>
    <row r="40">
      <c r="A40" t="inlineStr">
        <is>
          <t>Tax expense (tax rate × pre-tax)</t>
        </is>
      </c>
      <c r="G40" s="20" t="n">
        <v>-316</v>
      </c>
      <c r="H40" s="38">
        <f>-H39*Assumptions!C99</f>
        <v/>
      </c>
      <c r="I40" s="38">
        <f>-I39*Assumptions!D99</f>
        <v/>
      </c>
      <c r="J40" s="38">
        <f>-J39*Assumptions!E99</f>
        <v/>
      </c>
      <c r="K40" s="38">
        <f>-K39*Assumptions!F99</f>
        <v/>
      </c>
    </row>
    <row r="41">
      <c r="A41" s="2" t="inlineStr">
        <is>
          <t>Net income (GAAP)</t>
        </is>
      </c>
      <c r="B41" s="20" t="n">
        <v>-282.4</v>
      </c>
      <c r="C41" s="20" t="n">
        <v>29</v>
      </c>
      <c r="D41" s="20" t="n">
        <v>-367</v>
      </c>
      <c r="E41" s="20" t="n">
        <v>1381</v>
      </c>
      <c r="F41" s="20" t="n">
        <v>526</v>
      </c>
      <c r="G41" s="20" t="n">
        <v>693</v>
      </c>
      <c r="H41" s="24">
        <f>H39+H40</f>
        <v/>
      </c>
      <c r="I41" s="24">
        <f>I39+I40</f>
        <v/>
      </c>
      <c r="J41" s="24">
        <f>J39+J40</f>
        <v/>
      </c>
      <c r="K41" s="24">
        <f>K39+K40</f>
        <v/>
      </c>
      <c r="M41" s="10">
        <f>IFERROR(IF(OR(B41&lt;=0,F41&lt;=0),"N/M",(F41/B41)^(1/4)-1), "N/M")</f>
        <v/>
      </c>
      <c r="N41" s="10">
        <f>IFERROR(IF(OR(G41&lt;=0,K41&lt;=0),"N/M",(K41/G41)^(1/4)-1), "N/M")</f>
        <v/>
      </c>
    </row>
    <row r="42">
      <c r="A42" s="2" t="inlineStr">
        <is>
          <t>Diluted EPS</t>
        </is>
      </c>
      <c r="G42" s="6" t="n">
        <v>2.59</v>
      </c>
      <c r="H42" s="32">
        <f>H41/H122</f>
        <v/>
      </c>
      <c r="I42" s="32">
        <f>I41/I122</f>
        <v/>
      </c>
      <c r="J42" s="32">
        <f>J41/J122</f>
        <v/>
      </c>
      <c r="K42" s="32">
        <f>K41/K122</f>
        <v/>
      </c>
    </row>
    <row r="44">
      <c r="A44" s="36" t="inlineStr">
        <is>
          <t>BALANCE SHEET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</row>
    <row r="45">
      <c r="A45" s="3" t="inlineStr">
        <is>
          <t>ASSETS</t>
        </is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</row>
    <row r="46">
      <c r="A46" t="inlineStr">
        <is>
          <t>Cash &amp; equivalents</t>
        </is>
      </c>
      <c r="B46" s="20" t="n">
        <v>1384.2</v>
      </c>
      <c r="C46" s="20" t="n">
        <v>1534</v>
      </c>
      <c r="D46" s="20" t="n">
        <v>1886</v>
      </c>
      <c r="E46" s="20" t="n">
        <v>2012</v>
      </c>
      <c r="F46" s="20" t="n">
        <v>1543</v>
      </c>
      <c r="G46" s="20" t="n">
        <v>1501</v>
      </c>
      <c r="H46" s="38">
        <f>G46+H107</f>
        <v/>
      </c>
      <c r="I46" s="38">
        <f>H46+I107</f>
        <v/>
      </c>
      <c r="J46" s="38">
        <f>I46+J107</f>
        <v/>
      </c>
      <c r="K46" s="38">
        <f>J46+K107</f>
        <v/>
      </c>
    </row>
    <row r="47">
      <c r="A47" t="inlineStr">
        <is>
          <t>Marketable securities</t>
        </is>
      </c>
      <c r="G47" s="20" t="n">
        <v>3942</v>
      </c>
      <c r="H47" s="38">
        <f>G47</f>
        <v/>
      </c>
      <c r="I47" s="38">
        <f>H47</f>
        <v/>
      </c>
      <c r="J47" s="38">
        <f>I47</f>
        <v/>
      </c>
      <c r="K47" s="38">
        <f>J47</f>
        <v/>
      </c>
    </row>
    <row r="48">
      <c r="A48" t="inlineStr">
        <is>
          <t>Accounts receivable</t>
        </is>
      </c>
      <c r="B48" s="20" t="n">
        <v>1032.5</v>
      </c>
      <c r="C48" s="20" t="n">
        <v>1242.5</v>
      </c>
      <c r="D48" s="20" t="n">
        <v>1570</v>
      </c>
      <c r="E48" s="20" t="n">
        <v>1639</v>
      </c>
      <c r="F48" s="20" t="n">
        <v>1950</v>
      </c>
      <c r="G48" s="20" t="n">
        <v>2332</v>
      </c>
      <c r="H48" s="38">
        <f>(Assumptions!C101/365)*H29</f>
        <v/>
      </c>
      <c r="I48" s="38">
        <f>(Assumptions!D101/365)*I29</f>
        <v/>
      </c>
      <c r="J48" s="38">
        <f>(Assumptions!E101/365)*J29</f>
        <v/>
      </c>
      <c r="K48" s="38">
        <f>(Assumptions!F101/365)*K29</f>
        <v/>
      </c>
    </row>
    <row r="49">
      <c r="A49" t="inlineStr">
        <is>
          <t>Prepaid + other current</t>
        </is>
      </c>
      <c r="G49" s="20" t="n">
        <v>348</v>
      </c>
      <c r="H49" s="38">
        <f>H29*Assumptions!C102</f>
        <v/>
      </c>
      <c r="I49" s="38">
        <f>I29*Assumptions!D102</f>
        <v/>
      </c>
      <c r="J49" s="38">
        <f>J29*Assumptions!E102</f>
        <v/>
      </c>
      <c r="K49" s="38">
        <f>K29*Assumptions!F102</f>
        <v/>
      </c>
    </row>
    <row r="50">
      <c r="A50" t="inlineStr">
        <is>
          <t>Deferred costs (current)</t>
        </is>
      </c>
      <c r="G50" s="20" t="n">
        <v>306</v>
      </c>
      <c r="H50" s="38">
        <f>H29*Assumptions!C103</f>
        <v/>
      </c>
      <c r="I50" s="38">
        <f>I29*Assumptions!D103</f>
        <v/>
      </c>
      <c r="J50" s="38">
        <f>J29*Assumptions!E103</f>
        <v/>
      </c>
      <c r="K50" s="38">
        <f>K29*Assumptions!F103</f>
        <v/>
      </c>
    </row>
    <row r="51">
      <c r="A51" t="inlineStr">
        <is>
          <t>Property, plant &amp; equipment</t>
        </is>
      </c>
      <c r="G51" s="20" t="n">
        <v>1093</v>
      </c>
      <c r="H51" s="38">
        <f>G51+Assumptions!C111-Assumptions!C114</f>
        <v/>
      </c>
      <c r="I51" s="38">
        <f>H51+Assumptions!D111-Assumptions!D114</f>
        <v/>
      </c>
      <c r="J51" s="38">
        <f>I51+Assumptions!E111-Assumptions!E114</f>
        <v/>
      </c>
      <c r="K51" s="38">
        <f>J51+Assumptions!F111-Assumptions!F114</f>
        <v/>
      </c>
    </row>
    <row r="52">
      <c r="A52" t="inlineStr">
        <is>
          <t>Operating lease ROU</t>
        </is>
      </c>
      <c r="G52" s="20" t="n">
        <v>719</v>
      </c>
      <c r="H52" s="38">
        <f>G52</f>
        <v/>
      </c>
      <c r="I52" s="38">
        <f>H52</f>
        <v/>
      </c>
      <c r="J52" s="38">
        <f>I52</f>
        <v/>
      </c>
      <c r="K52" s="38">
        <f>J52</f>
        <v/>
      </c>
    </row>
    <row r="53">
      <c r="A53" t="inlineStr">
        <is>
          <t>Goodwill</t>
        </is>
      </c>
      <c r="G53" s="20" t="n">
        <v>5229</v>
      </c>
      <c r="H53" s="38">
        <f>G53</f>
        <v/>
      </c>
      <c r="I53" s="38">
        <f>H53</f>
        <v/>
      </c>
      <c r="J53" s="38">
        <f>I53</f>
        <v/>
      </c>
      <c r="K53" s="38">
        <f>J53</f>
        <v/>
      </c>
    </row>
    <row r="54">
      <c r="A54" t="inlineStr">
        <is>
          <t>Intangibles (net)</t>
        </is>
      </c>
      <c r="G54" s="20" t="n">
        <v>600</v>
      </c>
      <c r="H54" s="38">
        <f>G54-Assumptions!C109</f>
        <v/>
      </c>
      <c r="I54" s="38">
        <f>H54-Assumptions!D109</f>
        <v/>
      </c>
      <c r="J54" s="38">
        <f>I54-Assumptions!E109</f>
        <v/>
      </c>
      <c r="K54" s="38">
        <f>J54-Assumptions!F109</f>
        <v/>
      </c>
    </row>
    <row r="55">
      <c r="A55" t="inlineStr">
        <is>
          <t>Deferred contract costs (NC)</t>
        </is>
      </c>
      <c r="G55" s="20" t="n">
        <v>634</v>
      </c>
      <c r="H55" s="38">
        <f>H29*Assumptions!C104</f>
        <v/>
      </c>
      <c r="I55" s="38">
        <f>I29*Assumptions!D104</f>
        <v/>
      </c>
      <c r="J55" s="38">
        <f>J29*Assumptions!E104</f>
        <v/>
      </c>
      <c r="K55" s="38">
        <f>K29*Assumptions!F104</f>
        <v/>
      </c>
    </row>
    <row r="56">
      <c r="A56" t="inlineStr">
        <is>
          <t>Deferred tax assets</t>
        </is>
      </c>
      <c r="G56" s="20" t="n">
        <v>829</v>
      </c>
      <c r="H56" s="38">
        <f>G56</f>
        <v/>
      </c>
      <c r="I56" s="38">
        <f>H56</f>
        <v/>
      </c>
      <c r="J56" s="38">
        <f>I56</f>
        <v/>
      </c>
      <c r="K56" s="38">
        <f>J56</f>
        <v/>
      </c>
    </row>
    <row r="57">
      <c r="A57" t="inlineStr">
        <is>
          <t>Other assets (NC)</t>
        </is>
      </c>
      <c r="G57" s="20" t="n">
        <v>541</v>
      </c>
      <c r="H57" s="38">
        <f>G57</f>
        <v/>
      </c>
      <c r="I57" s="38">
        <f>H57</f>
        <v/>
      </c>
      <c r="J57" s="38">
        <f>I57</f>
        <v/>
      </c>
      <c r="K57" s="38">
        <f>J57</f>
        <v/>
      </c>
    </row>
    <row r="58">
      <c r="A58" s="2" t="inlineStr">
        <is>
          <t>Total assets</t>
        </is>
      </c>
      <c r="G58" s="24" t="n">
        <v>18074</v>
      </c>
      <c r="H58" s="24">
        <f>H46+H47+H48+H49+H50+H51+H52+H53+H54+H55+H56+H57</f>
        <v/>
      </c>
      <c r="I58" s="24">
        <f>I46+I47+I48+I49+I50+I51+I52+I53+I54+I55+I56+I57</f>
        <v/>
      </c>
      <c r="J58" s="24">
        <f>J46+J47+J48+J49+J50+J51+J52+J53+J54+J55+J56+J57</f>
        <v/>
      </c>
      <c r="K58" s="24">
        <f>K46+K47+K48+K49+K50+K51+K52+K53+K54+K55+K56+K57</f>
        <v/>
      </c>
    </row>
    <row r="60">
      <c r="A60" s="3" t="inlineStr">
        <is>
          <t>LIABILITIES</t>
        </is>
      </c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</row>
    <row r="61">
      <c r="A61" t="inlineStr">
        <is>
          <t>Accounts payable</t>
        </is>
      </c>
      <c r="G61" s="20" t="n">
        <v>142</v>
      </c>
      <c r="H61" s="38">
        <f>H29*Assumptions!C105</f>
        <v/>
      </c>
      <c r="I61" s="38">
        <f>I29*Assumptions!D105</f>
        <v/>
      </c>
      <c r="J61" s="38">
        <f>J29*Assumptions!E105</f>
        <v/>
      </c>
      <c r="K61" s="38">
        <f>K29*Assumptions!F105</f>
        <v/>
      </c>
    </row>
    <row r="62">
      <c r="A62" t="inlineStr">
        <is>
          <t>Accrued compensation</t>
        </is>
      </c>
      <c r="G62" s="20" t="n">
        <v>642</v>
      </c>
      <c r="H62" s="38">
        <f>H29*Assumptions!C106</f>
        <v/>
      </c>
      <c r="I62" s="38">
        <f>I29*Assumptions!D106</f>
        <v/>
      </c>
      <c r="J62" s="38">
        <f>J29*Assumptions!E106</f>
        <v/>
      </c>
      <c r="K62" s="38">
        <f>K29*Assumptions!F106</f>
        <v/>
      </c>
    </row>
    <row r="63">
      <c r="A63" t="inlineStr">
        <is>
          <t>Accrued other</t>
        </is>
      </c>
      <c r="G63" s="20" t="n">
        <v>454</v>
      </c>
      <c r="H63" s="38">
        <f>H29*Assumptions!C107</f>
        <v/>
      </c>
      <c r="I63" s="38">
        <f>I29*Assumptions!D107</f>
        <v/>
      </c>
      <c r="J63" s="38">
        <f>J29*Assumptions!E107</f>
        <v/>
      </c>
      <c r="K63" s="38">
        <f>K29*Assumptions!F107</f>
        <v/>
      </c>
    </row>
    <row r="64">
      <c r="A64" t="inlineStr">
        <is>
          <t>Deferred revenue (current)</t>
        </is>
      </c>
      <c r="B64" s="20" t="n">
        <v>2556.6</v>
      </c>
      <c r="C64" s="20" t="n">
        <v>3110.9</v>
      </c>
      <c r="D64" s="20" t="n">
        <v>3559</v>
      </c>
      <c r="E64" s="20" t="n">
        <v>4057</v>
      </c>
      <c r="F64" s="20" t="n">
        <v>4467</v>
      </c>
      <c r="G64" s="20" t="n">
        <v>5010</v>
      </c>
      <c r="H64" s="38">
        <f>Assumptions!C108*(H8+H11)+Revenue_Build!B31</f>
        <v/>
      </c>
      <c r="I64" s="38">
        <f>Assumptions!D108*(I8+I11)+Revenue_Build!C31</f>
        <v/>
      </c>
      <c r="J64" s="38">
        <f>Assumptions!E108*(J8+J11)+Revenue_Build!D31</f>
        <v/>
      </c>
      <c r="K64" s="38">
        <f>Assumptions!F108*(K8+K11)+Revenue_Build!E31</f>
        <v/>
      </c>
    </row>
    <row r="65">
      <c r="A65" t="inlineStr">
        <is>
          <t>Deferred revenue (NC)</t>
        </is>
      </c>
      <c r="B65" s="20" t="n">
        <v>80.09999999999999</v>
      </c>
      <c r="C65" s="20" t="n">
        <v>71.5</v>
      </c>
      <c r="D65" s="20" t="n">
        <v>75</v>
      </c>
      <c r="E65" s="20" t="n">
        <v>70</v>
      </c>
      <c r="F65" s="20" t="n">
        <v>80</v>
      </c>
      <c r="G65" s="20" t="n">
        <v>71</v>
      </c>
      <c r="H65" s="38">
        <f>G65</f>
        <v/>
      </c>
      <c r="I65" s="38">
        <f>H65</f>
        <v/>
      </c>
      <c r="J65" s="38">
        <f>I65</f>
        <v/>
      </c>
      <c r="K65" s="38">
        <f>J65</f>
        <v/>
      </c>
    </row>
    <row r="66">
      <c r="A66" t="inlineStr">
        <is>
          <t>Operating lease liab (current)</t>
        </is>
      </c>
      <c r="G66" s="20" t="n">
        <v>130</v>
      </c>
      <c r="H66" s="38">
        <f>G66</f>
        <v/>
      </c>
      <c r="I66" s="38">
        <f>H66</f>
        <v/>
      </c>
      <c r="J66" s="38">
        <f>I66</f>
        <v/>
      </c>
      <c r="K66" s="38">
        <f>J66</f>
        <v/>
      </c>
    </row>
    <row r="67">
      <c r="A67" t="inlineStr">
        <is>
          <t>Operating lease liab (NC)</t>
        </is>
      </c>
      <c r="G67" s="20" t="n">
        <v>704</v>
      </c>
      <c r="H67" s="38">
        <f>G67</f>
        <v/>
      </c>
      <c r="I67" s="38">
        <f>H67</f>
        <v/>
      </c>
      <c r="J67" s="38">
        <f>I67</f>
        <v/>
      </c>
      <c r="K67" s="38">
        <f>J67</f>
        <v/>
      </c>
    </row>
    <row r="68">
      <c r="A68" t="inlineStr">
        <is>
          <t>Senior convertible notes</t>
        </is>
      </c>
      <c r="G68" s="20" t="n">
        <v>2987</v>
      </c>
      <c r="H68" s="38">
        <f>G68</f>
        <v/>
      </c>
      <c r="I68" s="38">
        <f>H68</f>
        <v/>
      </c>
      <c r="J68" s="38">
        <f>I68</f>
        <v/>
      </c>
      <c r="K68" s="38">
        <f>J68</f>
        <v/>
      </c>
    </row>
    <row r="69">
      <c r="A69" t="inlineStr">
        <is>
          <t>Other long-term liabilities</t>
        </is>
      </c>
      <c r="G69" s="20" t="n">
        <v>129</v>
      </c>
      <c r="H69" s="38">
        <f>G69</f>
        <v/>
      </c>
      <c r="I69" s="38">
        <f>H69</f>
        <v/>
      </c>
      <c r="J69" s="38">
        <f>I69</f>
        <v/>
      </c>
      <c r="K69" s="38">
        <f>J69</f>
        <v/>
      </c>
    </row>
    <row r="70">
      <c r="A70" s="2" t="inlineStr">
        <is>
          <t>Total liabilities</t>
        </is>
      </c>
      <c r="G70" s="24" t="n">
        <v>10269</v>
      </c>
      <c r="H70" s="24">
        <f>H61+H62+H63+H64+H65+H66+H67+H68+H69</f>
        <v/>
      </c>
      <c r="I70" s="24">
        <f>I61+I62+I63+I64+I65+I66+I67+I68+I69</f>
        <v/>
      </c>
      <c r="J70" s="24">
        <f>J61+J62+J63+J64+J65+J66+J67+J68+J69</f>
        <v/>
      </c>
      <c r="K70" s="24">
        <f>K61+K62+K63+K64+K65+K66+K67+K68+K69</f>
        <v/>
      </c>
    </row>
    <row r="72">
      <c r="A72" s="3" t="inlineStr">
        <is>
          <t>EQUITY</t>
        </is>
      </c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</row>
    <row r="73">
      <c r="A73" t="inlineStr">
        <is>
          <t>Additional paid-in capital</t>
        </is>
      </c>
      <c r="G73" s="20" t="n">
        <v>12673</v>
      </c>
      <c r="H73" s="38">
        <f>G73+H86</f>
        <v/>
      </c>
      <c r="I73" s="38">
        <f>H73+I86</f>
        <v/>
      </c>
      <c r="J73" s="38">
        <f>I73+J86</f>
        <v/>
      </c>
      <c r="K73" s="38">
        <f>J73+K86</f>
        <v/>
      </c>
    </row>
    <row r="74">
      <c r="A74" t="inlineStr">
        <is>
          <t>Treasury stock</t>
        </is>
      </c>
      <c r="G74" s="20" t="n">
        <v>-4220</v>
      </c>
      <c r="H74" s="38">
        <f>G74+H102</f>
        <v/>
      </c>
      <c r="I74" s="38">
        <f>H74+I102</f>
        <v/>
      </c>
      <c r="J74" s="38">
        <f>I74+J102</f>
        <v/>
      </c>
      <c r="K74" s="38">
        <f>J74+K102</f>
        <v/>
      </c>
    </row>
    <row r="75">
      <c r="A75" t="inlineStr">
        <is>
          <t>Retained earnings / (deficit)</t>
        </is>
      </c>
      <c r="G75" s="20" t="n">
        <v>-512</v>
      </c>
      <c r="H75" s="38">
        <f>G75+H41+H103</f>
        <v/>
      </c>
      <c r="I75" s="38">
        <f>H75+I41+I103</f>
        <v/>
      </c>
      <c r="J75" s="38">
        <f>I75+J41+J103</f>
        <v/>
      </c>
      <c r="K75" s="38">
        <f>J75+K41+K103</f>
        <v/>
      </c>
    </row>
    <row r="76">
      <c r="A76" t="inlineStr">
        <is>
          <t>AOCI</t>
        </is>
      </c>
      <c r="G76" s="20" t="n">
        <v>-136</v>
      </c>
      <c r="H76" s="38">
        <f>G76</f>
        <v/>
      </c>
      <c r="I76" s="38">
        <f>H76</f>
        <v/>
      </c>
      <c r="J76" s="38">
        <f>I76</f>
        <v/>
      </c>
      <c r="K76" s="38">
        <f>J76</f>
        <v/>
      </c>
    </row>
    <row r="77">
      <c r="A77" s="2" t="inlineStr">
        <is>
          <t>Total stockholders' equity</t>
        </is>
      </c>
      <c r="G77" s="24" t="n">
        <v>7805</v>
      </c>
      <c r="H77" s="24">
        <f>H73+H74+H75+H76</f>
        <v/>
      </c>
      <c r="I77" s="24">
        <f>I73+I74+I75+I76</f>
        <v/>
      </c>
      <c r="J77" s="24">
        <f>J73+J74+J75+J76</f>
        <v/>
      </c>
      <c r="K77" s="24">
        <f>K73+K74+K75+K76</f>
        <v/>
      </c>
    </row>
    <row r="79">
      <c r="A79" s="2" t="inlineStr">
        <is>
          <t>Balance check: A − L − E (≈ 0)</t>
        </is>
      </c>
      <c r="G79" s="40" t="n">
        <v>0</v>
      </c>
      <c r="H79" s="40">
        <f>H58-H70-H77</f>
        <v/>
      </c>
      <c r="I79" s="40">
        <f>I58-I70-I77</f>
        <v/>
      </c>
      <c r="J79" s="40">
        <f>J58-J70-J77</f>
        <v/>
      </c>
      <c r="K79" s="40">
        <f>K58-K70-K77</f>
        <v/>
      </c>
    </row>
    <row r="81">
      <c r="A81" s="36" t="inlineStr">
        <is>
          <t>CASH FLOW STATEMENT</t>
        </is>
      </c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</row>
    <row r="82">
      <c r="A82" s="3" t="inlineStr">
        <is>
          <t>Operating activities</t>
        </is>
      </c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</row>
    <row r="83">
      <c r="A83" t="inlineStr">
        <is>
          <t>Net income</t>
        </is>
      </c>
      <c r="B83" s="20" t="n">
        <v>-282.4</v>
      </c>
      <c r="C83" s="20" t="n">
        <v>29</v>
      </c>
      <c r="D83" s="20" t="n">
        <v>-367</v>
      </c>
      <c r="E83" s="20" t="n">
        <v>1381</v>
      </c>
      <c r="F83" s="20" t="n">
        <v>526</v>
      </c>
      <c r="G83" s="20" t="n">
        <v>693</v>
      </c>
      <c r="H83" s="38">
        <f>H41</f>
        <v/>
      </c>
      <c r="I83" s="38">
        <f>I41</f>
        <v/>
      </c>
      <c r="J83" s="38">
        <f>J41</f>
        <v/>
      </c>
      <c r="K83" s="38">
        <f>K41</f>
        <v/>
      </c>
    </row>
    <row r="84">
      <c r="A84" t="inlineStr">
        <is>
          <t>+ Depreciation</t>
        </is>
      </c>
      <c r="G84" s="20" t="n">
        <v>237</v>
      </c>
      <c r="H84" s="38">
        <f>Assumptions!C114</f>
        <v/>
      </c>
      <c r="I84" s="38">
        <f>Assumptions!D114</f>
        <v/>
      </c>
      <c r="J84" s="38">
        <f>Assumptions!E114</f>
        <v/>
      </c>
      <c r="K84" s="38">
        <f>Assumptions!F114</f>
        <v/>
      </c>
    </row>
    <row r="85">
      <c r="A85" t="inlineStr">
        <is>
          <t>+ Amortization of intangibles</t>
        </is>
      </c>
      <c r="G85" s="20" t="n">
        <v>100</v>
      </c>
      <c r="H85" s="38">
        <f>Assumptions!C109</f>
        <v/>
      </c>
      <c r="I85" s="38">
        <f>Assumptions!D109</f>
        <v/>
      </c>
      <c r="J85" s="38">
        <f>Assumptions!E109</f>
        <v/>
      </c>
      <c r="K85" s="38">
        <f>Assumptions!F109</f>
        <v/>
      </c>
    </row>
    <row r="86">
      <c r="A86" t="inlineStr">
        <is>
          <t>+ Stock-based compensation</t>
        </is>
      </c>
      <c r="B86" s="20" t="n">
        <v>1004.9</v>
      </c>
      <c r="C86" s="20" t="n">
        <v>1101</v>
      </c>
      <c r="D86" s="20" t="n">
        <v>1295</v>
      </c>
      <c r="E86" s="20" t="n">
        <v>1416</v>
      </c>
      <c r="F86" s="20" t="n">
        <v>1519</v>
      </c>
      <c r="G86" s="20" t="n">
        <v>1626</v>
      </c>
      <c r="H86" s="38">
        <f>H29*Assumptions!C36</f>
        <v/>
      </c>
      <c r="I86" s="38">
        <f>I29*Assumptions!D36</f>
        <v/>
      </c>
      <c r="J86" s="38">
        <f>J29*Assumptions!E36</f>
        <v/>
      </c>
      <c r="K86" s="38">
        <f>K29*Assumptions!F36</f>
        <v/>
      </c>
    </row>
    <row r="87">
      <c r="A87" t="inlineStr">
        <is>
          <t>± Change in AR</t>
        </is>
      </c>
      <c r="H87" s="41">
        <f>-(H48-G48)</f>
        <v/>
      </c>
      <c r="I87" s="41">
        <f>-(I48-H48)</f>
        <v/>
      </c>
      <c r="J87" s="41">
        <f>-(J48-I48)</f>
        <v/>
      </c>
      <c r="K87" s="41">
        <f>-(K48-J48)</f>
        <v/>
      </c>
    </row>
    <row r="88">
      <c r="A88" t="inlineStr">
        <is>
          <t>± Change in deferred revenue</t>
        </is>
      </c>
      <c r="H88" s="41">
        <f>H64-G64</f>
        <v/>
      </c>
      <c r="I88" s="41">
        <f>I64-H64</f>
        <v/>
      </c>
      <c r="J88" s="41">
        <f>J64-I64</f>
        <v/>
      </c>
      <c r="K88" s="41">
        <f>K64-J64</f>
        <v/>
      </c>
    </row>
    <row r="89">
      <c r="A89" t="inlineStr">
        <is>
          <t>± Change in accrued comp</t>
        </is>
      </c>
      <c r="H89" s="41">
        <f>H62-G62</f>
        <v/>
      </c>
      <c r="I89" s="41">
        <f>I62-H62</f>
        <v/>
      </c>
      <c r="J89" s="41">
        <f>J62-I62</f>
        <v/>
      </c>
      <c r="K89" s="41">
        <f>K62-J62</f>
        <v/>
      </c>
    </row>
    <row r="90">
      <c r="A90" t="inlineStr">
        <is>
          <t>± Change in AP + accrued other</t>
        </is>
      </c>
      <c r="H90" s="41">
        <f>(H61+H63)-(G61+G63)</f>
        <v/>
      </c>
      <c r="I90" s="41">
        <f>(I61+I63)-(H61+H63)</f>
        <v/>
      </c>
      <c r="J90" s="41">
        <f>(J61+J63)-(I61+I63)</f>
        <v/>
      </c>
      <c r="K90" s="41">
        <f>(K61+K63)-(J61+J63)</f>
        <v/>
      </c>
    </row>
    <row r="91">
      <c r="A91" t="inlineStr">
        <is>
          <t>± Change in prepaid</t>
        </is>
      </c>
      <c r="H91" s="41">
        <f>-(H49-G49)</f>
        <v/>
      </c>
      <c r="I91" s="41">
        <f>-(I49-H49)</f>
        <v/>
      </c>
      <c r="J91" s="41">
        <f>-(J49-I49)</f>
        <v/>
      </c>
      <c r="K91" s="41">
        <f>-(K49-J49)</f>
        <v/>
      </c>
    </row>
    <row r="92">
      <c r="A92" t="inlineStr">
        <is>
          <t>± Change in deferred costs</t>
        </is>
      </c>
      <c r="H92" s="41">
        <f>-((H50+H55)-(G50+G55))</f>
        <v/>
      </c>
      <c r="I92" s="41">
        <f>-((I50+I55)-(H50+H55))</f>
        <v/>
      </c>
      <c r="J92" s="41">
        <f>-((J50+J55)-(I50+I55))</f>
        <v/>
      </c>
      <c r="K92" s="41">
        <f>-((K50+K55)-(J50+J55))</f>
        <v/>
      </c>
    </row>
    <row r="93">
      <c r="A93" s="2" t="inlineStr">
        <is>
          <t>Operating cash flow (=)</t>
        </is>
      </c>
      <c r="B93" s="13" t="n">
        <v>1268.4</v>
      </c>
      <c r="C93" s="13" t="n">
        <v>1651</v>
      </c>
      <c r="D93" s="13" t="n">
        <v>1657</v>
      </c>
      <c r="E93" s="13" t="n">
        <v>2149</v>
      </c>
      <c r="F93" s="13" t="n">
        <v>2461</v>
      </c>
      <c r="G93" s="12" t="n">
        <v>2939</v>
      </c>
      <c r="H93" s="12">
        <f>H83+H84+H85+H86+H87+H88+H89+H90+H91+H92</f>
        <v/>
      </c>
      <c r="I93" s="12">
        <f>I83+I84+I85+I86+I87+I88+I89+I90+I91+I92</f>
        <v/>
      </c>
      <c r="J93" s="12">
        <f>J83+J84+J85+J86+J87+J88+J89+J90+J91+J92</f>
        <v/>
      </c>
      <c r="K93" s="12">
        <f>K83+K84+K85+K86+K87+K88+K89+K90+K91+K92</f>
        <v/>
      </c>
    </row>
    <row r="95">
      <c r="A95" s="3" t="inlineStr">
        <is>
          <t>Investing activities</t>
        </is>
      </c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</row>
    <row r="96">
      <c r="A96" t="inlineStr">
        <is>
          <t>− Capex</t>
        </is>
      </c>
      <c r="D96" s="20" t="n">
        <v>364</v>
      </c>
      <c r="E96" s="20" t="n">
        <v>232</v>
      </c>
      <c r="F96" s="20" t="n">
        <v>269</v>
      </c>
      <c r="G96" s="20" t="n">
        <v>-162</v>
      </c>
      <c r="H96" s="38">
        <f>-Assumptions!C111</f>
        <v/>
      </c>
      <c r="I96" s="38">
        <f>-Assumptions!D111</f>
        <v/>
      </c>
      <c r="J96" s="38">
        <f>-Assumptions!E111</f>
        <v/>
      </c>
      <c r="K96" s="38">
        <f>-Assumptions!F111</f>
        <v/>
      </c>
    </row>
    <row r="97">
      <c r="A97" t="inlineStr">
        <is>
          <t>− Acquisitions</t>
        </is>
      </c>
      <c r="H97" s="38">
        <f>-Assumptions!C118</f>
        <v/>
      </c>
      <c r="I97" s="38">
        <f>-Assumptions!D118</f>
        <v/>
      </c>
      <c r="J97" s="38">
        <f>-Assumptions!E118</f>
        <v/>
      </c>
      <c r="K97" s="38">
        <f>-Assumptions!F118</f>
        <v/>
      </c>
    </row>
    <row r="98">
      <c r="A98" t="inlineStr">
        <is>
          <t>± Net marketable securities</t>
        </is>
      </c>
      <c r="H98" s="38">
        <f>Assumptions!C119</f>
        <v/>
      </c>
      <c r="I98" s="38">
        <f>Assumptions!D119</f>
        <v/>
      </c>
      <c r="J98" s="38">
        <f>Assumptions!E119</f>
        <v/>
      </c>
      <c r="K98" s="38">
        <f>Assumptions!F119</f>
        <v/>
      </c>
    </row>
    <row r="99">
      <c r="A99" s="2" t="inlineStr">
        <is>
          <t>Investing cash flow (=)</t>
        </is>
      </c>
      <c r="G99" s="24" t="n">
        <v>-162</v>
      </c>
      <c r="H99" s="24">
        <f>H96+H97+H98</f>
        <v/>
      </c>
      <c r="I99" s="24">
        <f>I96+I97+I98</f>
        <v/>
      </c>
      <c r="J99" s="24">
        <f>J96+J97+J98</f>
        <v/>
      </c>
      <c r="K99" s="24">
        <f>K96+K97+K98</f>
        <v/>
      </c>
    </row>
    <row r="101">
      <c r="A101" s="3" t="inlineStr">
        <is>
          <t>Financing activities</t>
        </is>
      </c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</row>
    <row r="102">
      <c r="A102" t="inlineStr">
        <is>
          <t>− Buybacks</t>
        </is>
      </c>
      <c r="H102" s="38">
        <f>-Assumptions!C44*G122*Assumptions!C117</f>
        <v/>
      </c>
      <c r="I102" s="38">
        <f>-Assumptions!D44*H122*Assumptions!D117</f>
        <v/>
      </c>
      <c r="J102" s="38">
        <f>-Assumptions!E44*I122*Assumptions!E117</f>
        <v/>
      </c>
      <c r="K102" s="38">
        <f>-Assumptions!F44*J122*Assumptions!F117</f>
        <v/>
      </c>
    </row>
    <row r="103">
      <c r="A103" t="inlineStr">
        <is>
          <t>− Dividends</t>
        </is>
      </c>
      <c r="H103" s="38">
        <f>-Assumptions!C116*(H93+H96)</f>
        <v/>
      </c>
      <c r="I103" s="38">
        <f>-Assumptions!D116*(I93+I96)</f>
        <v/>
      </c>
      <c r="J103" s="38">
        <f>-Assumptions!E116*(J93+J96)</f>
        <v/>
      </c>
      <c r="K103" s="38">
        <f>-Assumptions!F116*(K93+K96)</f>
        <v/>
      </c>
    </row>
    <row r="104">
      <c r="A104" t="inlineStr">
        <is>
          <t>± Net debt</t>
        </is>
      </c>
      <c r="H104" s="38">
        <f>Assumptions!C120</f>
        <v/>
      </c>
      <c r="I104" s="38">
        <f>Assumptions!D120</f>
        <v/>
      </c>
      <c r="J104" s="38">
        <f>Assumptions!E120</f>
        <v/>
      </c>
      <c r="K104" s="38">
        <f>Assumptions!F120</f>
        <v/>
      </c>
    </row>
    <row r="105">
      <c r="A105" s="2" t="inlineStr">
        <is>
          <t>Financing cash flow (=)</t>
        </is>
      </c>
      <c r="H105" s="24">
        <f>H102+H103+H104</f>
        <v/>
      </c>
      <c r="I105" s="24">
        <f>I102+I103+I104</f>
        <v/>
      </c>
      <c r="J105" s="24">
        <f>J102+J103+J104</f>
        <v/>
      </c>
      <c r="K105" s="24">
        <f>K102+K103+K104</f>
        <v/>
      </c>
    </row>
    <row r="107">
      <c r="A107" s="2" t="inlineStr">
        <is>
          <t>Net change in cash</t>
        </is>
      </c>
      <c r="H107" s="38">
        <f>H93+H99+H105</f>
        <v/>
      </c>
      <c r="I107" s="38">
        <f>I93+I99+I105</f>
        <v/>
      </c>
      <c r="J107" s="38">
        <f>J93+J99+J105</f>
        <v/>
      </c>
      <c r="K107" s="38">
        <f>K93+K99+K105</f>
        <v/>
      </c>
    </row>
    <row r="108">
      <c r="A108" s="2" t="inlineStr">
        <is>
          <t>Beginning cash</t>
        </is>
      </c>
      <c r="G108" s="20" t="n">
        <v>1501</v>
      </c>
      <c r="H108" s="38">
        <f>G46</f>
        <v/>
      </c>
      <c r="I108" s="38">
        <f>H46</f>
        <v/>
      </c>
      <c r="J108" s="38">
        <f>I46</f>
        <v/>
      </c>
      <c r="K108" s="38">
        <f>J46</f>
        <v/>
      </c>
    </row>
    <row r="109">
      <c r="A109" s="2" t="inlineStr">
        <is>
          <t>Ending cash (= BS cash)</t>
        </is>
      </c>
      <c r="G109" s="24" t="n">
        <v>1501</v>
      </c>
      <c r="H109" s="24">
        <f>H108+H107</f>
        <v/>
      </c>
      <c r="I109" s="24">
        <f>I108+I107</f>
        <v/>
      </c>
      <c r="J109" s="24">
        <f>J108+J107</f>
        <v/>
      </c>
      <c r="K109" s="24">
        <f>K108+K107</f>
        <v/>
      </c>
    </row>
    <row r="111">
      <c r="A111" s="2" t="inlineStr">
        <is>
          <t>Free cash flow (= CFO − Capex)</t>
        </is>
      </c>
      <c r="B111" s="12">
        <f>IFERROR(B93+B96,B93)</f>
        <v/>
      </c>
      <c r="C111" s="12">
        <f>IFERROR(C93+C96,C93)</f>
        <v/>
      </c>
      <c r="D111" s="12">
        <f>IFERROR(D93+D96,D93)</f>
        <v/>
      </c>
      <c r="E111" s="12">
        <f>IFERROR(E93+E96,E93)</f>
        <v/>
      </c>
      <c r="F111" s="12">
        <f>IFERROR(F93+F96,F93)</f>
        <v/>
      </c>
      <c r="G111" s="12">
        <f>IFERROR(G93+G96,G93)</f>
        <v/>
      </c>
      <c r="H111" s="33">
        <f>IFERROR(H93+H96,H93)</f>
        <v/>
      </c>
      <c r="I111" s="33">
        <f>IFERROR(I93+I96,I93)</f>
        <v/>
      </c>
      <c r="J111" s="33">
        <f>IFERROR(J93+J96,J93)</f>
        <v/>
      </c>
      <c r="K111" s="33">
        <f>IFERROR(K93+K96,K93)</f>
        <v/>
      </c>
      <c r="M111" s="10">
        <f>IFERROR(IF(OR(B111&lt;=0,F111&lt;=0),"N/M",(F111/B111)^(1/4)-1), "N/M")</f>
        <v/>
      </c>
      <c r="N111" s="10">
        <f>IFERROR(IF(OR(G111&lt;=0,K111&lt;=0),"N/M",(K111/G111)^(1/4)-1), "N/M")</f>
        <v/>
      </c>
    </row>
    <row r="112">
      <c r="A112" t="inlineStr">
        <is>
          <t>SBC (memo)</t>
        </is>
      </c>
      <c r="B112" s="20" t="n">
        <v>1004.9</v>
      </c>
      <c r="C112" s="20" t="n">
        <v>1101</v>
      </c>
      <c r="D112" s="20" t="n">
        <v>1295</v>
      </c>
      <c r="E112" s="20" t="n">
        <v>1416</v>
      </c>
      <c r="F112" s="20" t="n">
        <v>1519</v>
      </c>
      <c r="G112" s="20" t="n">
        <v>1626</v>
      </c>
      <c r="H112" s="38">
        <f>H29*Assumptions!C36</f>
        <v/>
      </c>
      <c r="I112" s="38">
        <f>I29*Assumptions!D36</f>
        <v/>
      </c>
      <c r="J112" s="38">
        <f>J29*Assumptions!E36</f>
        <v/>
      </c>
      <c r="K112" s="38">
        <f>K29*Assumptions!F36</f>
        <v/>
      </c>
      <c r="M112" s="10">
        <f>IFERROR(IF(OR(B112&lt;=0,F112&lt;=0),"N/M",(F112/B112)^(1/4)-1), "N/M")</f>
        <v/>
      </c>
      <c r="N112" s="10">
        <f>IFERROR(IF(OR(G112&lt;=0,K112&lt;=0),"N/M",(K112/G112)^(1/4)-1), "N/M")</f>
        <v/>
      </c>
    </row>
    <row r="113">
      <c r="A113" s="2" t="inlineStr">
        <is>
          <t>FCF − SBC</t>
        </is>
      </c>
      <c r="B113" s="24">
        <f>B111-B112</f>
        <v/>
      </c>
      <c r="C113" s="24">
        <f>C111-C112</f>
        <v/>
      </c>
      <c r="D113" s="24">
        <f>D111-D112</f>
        <v/>
      </c>
      <c r="E113" s="24">
        <f>E111-E112</f>
        <v/>
      </c>
      <c r="F113" s="24">
        <f>F111-F112</f>
        <v/>
      </c>
      <c r="G113" s="24">
        <f>G111-G112</f>
        <v/>
      </c>
      <c r="H113" s="38">
        <f>H111-H112</f>
        <v/>
      </c>
      <c r="I113" s="38">
        <f>I111-I112</f>
        <v/>
      </c>
      <c r="J113" s="38">
        <f>J111-J112</f>
        <v/>
      </c>
      <c r="K113" s="38">
        <f>K111-K112</f>
        <v/>
      </c>
      <c r="M113" s="10">
        <f>IFERROR(IF(OR(B113&lt;=0,F113&lt;=0),"N/M",(F113/B113)^(1/4)-1), "N/M")</f>
        <v/>
      </c>
      <c r="N113" s="10">
        <f>IFERROR(IF(OR(G113&lt;=0,K113&lt;=0),"N/M",(K113/G113)^(1/4)-1), "N/M")</f>
        <v/>
      </c>
    </row>
    <row r="115">
      <c r="A115" s="36" t="inlineStr">
        <is>
          <t>CAPITAL RETURN</t>
        </is>
      </c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</row>
    <row r="116">
      <c r="A116" s="2" t="inlineStr">
        <is>
          <t>Dividends paid total ($M)</t>
        </is>
      </c>
      <c r="H116" s="24">
        <f>-H103</f>
        <v/>
      </c>
      <c r="I116" s="24">
        <f>-I103</f>
        <v/>
      </c>
      <c r="J116" s="24">
        <f>-J103</f>
        <v/>
      </c>
      <c r="K116" s="24">
        <f>-K103</f>
        <v/>
      </c>
    </row>
    <row r="117">
      <c r="A117" s="2" t="inlineStr">
        <is>
          <t>Dividends paid per share ($/sh)</t>
        </is>
      </c>
      <c r="H117" s="42">
        <f>IFERROR(H116/H122,0)</f>
        <v/>
      </c>
      <c r="I117" s="42">
        <f>IFERROR(I116/I122,0)</f>
        <v/>
      </c>
      <c r="J117" s="42">
        <f>IFERROR(J116/J122,0)</f>
        <v/>
      </c>
      <c r="K117" s="42">
        <f>IFERROR(K116/K122,0)</f>
        <v/>
      </c>
    </row>
    <row r="118">
      <c r="A118" s="2" t="inlineStr">
        <is>
          <t>Cumulative dividends per share ($/sh)</t>
        </is>
      </c>
      <c r="H118" s="42">
        <f>H117</f>
        <v/>
      </c>
      <c r="I118" s="42">
        <f>H118+I117</f>
        <v/>
      </c>
      <c r="J118" s="42">
        <f>I118+J117</f>
        <v/>
      </c>
      <c r="K118" s="42">
        <f>J118+K117</f>
        <v/>
      </c>
    </row>
    <row r="119">
      <c r="A119" t="inlineStr">
        <is>
          <t>Buybacks total ($M)</t>
        </is>
      </c>
      <c r="H119" s="38">
        <f>-H102</f>
        <v/>
      </c>
      <c r="I119" s="38">
        <f>-I102</f>
        <v/>
      </c>
      <c r="J119" s="38">
        <f>-J102</f>
        <v/>
      </c>
      <c r="K119" s="38">
        <f>-K102</f>
        <v/>
      </c>
    </row>
    <row r="121">
      <c r="A121" s="3" t="inlineStr">
        <is>
          <t>Per-share</t>
        </is>
      </c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</row>
    <row r="122">
      <c r="A122" t="inlineStr">
        <is>
          <t>Diluted shares (M)</t>
        </is>
      </c>
      <c r="B122" s="11" t="n">
        <v>237</v>
      </c>
      <c r="C122" s="11" t="n">
        <v>254</v>
      </c>
      <c r="D122" s="11" t="n">
        <v>254.8</v>
      </c>
      <c r="E122" s="11" t="n">
        <v>265.3</v>
      </c>
      <c r="F122" s="11" t="n">
        <v>269.2</v>
      </c>
      <c r="G122" s="11" t="n">
        <v>268.1</v>
      </c>
      <c r="H122" s="31">
        <f>G122*(1-Assumptions!C44)</f>
        <v/>
      </c>
      <c r="I122" s="31">
        <f>H122*(1-Assumptions!D44)</f>
        <v/>
      </c>
      <c r="J122" s="31">
        <f>I122*(1-Assumptions!E44)</f>
        <v/>
      </c>
      <c r="K122" s="31">
        <f>J122*(1-Assumptions!F44)</f>
        <v/>
      </c>
      <c r="M122" s="10">
        <f>IFERROR(IF(OR(B122&lt;=0,F122&lt;=0),"N/M",(F122/B122)^(1/4)-1), "N/M")</f>
        <v/>
      </c>
      <c r="N122" s="10">
        <f>IFERROR(IF(OR(G122&lt;=0,K122&lt;=0),"N/M",(K122/G122)^(1/4)-1), "N/M")</f>
        <v/>
      </c>
    </row>
    <row r="123">
      <c r="A123" t="inlineStr">
        <is>
          <t>FCF / share</t>
        </is>
      </c>
      <c r="B123" s="6">
        <f>IFERROR(B111/B122,"")</f>
        <v/>
      </c>
      <c r="C123" s="6">
        <f>IFERROR(C111/C122,"")</f>
        <v/>
      </c>
      <c r="D123" s="6">
        <f>IFERROR(D111/D122,"")</f>
        <v/>
      </c>
      <c r="E123" s="6">
        <f>IFERROR(E111/E122,"")</f>
        <v/>
      </c>
      <c r="F123" s="6">
        <f>IFERROR(F111/F122,"")</f>
        <v/>
      </c>
      <c r="G123" s="6">
        <f>IFERROR(G111/G122,"")</f>
        <v/>
      </c>
      <c r="H123" s="32">
        <f>IFERROR(H111/H122,"")</f>
        <v/>
      </c>
      <c r="I123" s="32">
        <f>IFERROR(I111/I122,"")</f>
        <v/>
      </c>
      <c r="J123" s="32">
        <f>IFERROR(J111/J122,"")</f>
        <v/>
      </c>
      <c r="K123" s="32">
        <f>IFERROR(K111/K122,"")</f>
        <v/>
      </c>
      <c r="M123" s="10">
        <f>IFERROR(IF(OR(B123&lt;=0,F123&lt;=0),"N/M",(F123/B123)^(1/4)-1), "N/M")</f>
        <v/>
      </c>
      <c r="N123" s="10">
        <f>IFERROR(IF(OR(G123&lt;=0,K123&lt;=0),"N/M",(K123/G123)^(1/4)-1), "N/M")</f>
        <v/>
      </c>
    </row>
    <row r="124">
      <c r="A124" t="inlineStr">
        <is>
          <t>12-mo backlog ($M)</t>
        </is>
      </c>
      <c r="E124" s="13" t="n">
        <v>6602</v>
      </c>
      <c r="F124" s="13" t="n">
        <v>7631</v>
      </c>
      <c r="G124" s="13" t="n">
        <v>8833</v>
      </c>
      <c r="H124" s="33">
        <f>G124*(1+Assumptions!C16)</f>
        <v/>
      </c>
      <c r="I124" s="33">
        <f>H124*(1+Assumptions!D16)</f>
        <v/>
      </c>
      <c r="J124" s="33">
        <f>I124*(1+Assumptions!E16)</f>
        <v/>
      </c>
      <c r="K124" s="33">
        <f>J124*(1+Assumptions!F16)</f>
        <v/>
      </c>
      <c r="M124" s="10">
        <f>IFERROR(IF(OR(B124&lt;=0,F124&lt;=0),"N/M",(F124/B124)^(1/4)-1), "N/M")</f>
        <v/>
      </c>
      <c r="N124" s="10">
        <f>IFERROR(IF(OR(G124&lt;=0,K124&lt;=0),"N/M",(K124/G124)^(1/4)-1), "N/M")</f>
        <v/>
      </c>
    </row>
    <row r="126">
      <c r="A126" s="3" t="inlineStr">
        <is>
          <t>Valuation (terminal = FY30)</t>
        </is>
      </c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</row>
    <row r="127">
      <c r="A127" s="2" t="inlineStr">
        <is>
          <t>Exit ARR multiple (× FY30 backlog)</t>
        </is>
      </c>
      <c r="K127" s="43">
        <f>Assumptions!C48</f>
        <v/>
      </c>
      <c r="L127" s="44" t="inlineStr">
        <is>
          <t>source: Assumptions!C48</t>
        </is>
      </c>
    </row>
    <row r="128">
      <c r="A128" s="2" t="inlineStr">
        <is>
          <t>Exit FCF multiple (× FY30 FCF)</t>
        </is>
      </c>
      <c r="K128" s="45">
        <f>Assumptions!C51</f>
        <v/>
      </c>
      <c r="L128" s="44" t="inlineStr">
        <is>
          <t>source: Assumptions!C51</t>
        </is>
      </c>
    </row>
    <row r="129">
      <c r="A129" s="2" t="inlineStr">
        <is>
          <t>Target ($/sh, ARR-lens)</t>
        </is>
      </c>
      <c r="J129" s="34">
        <f>(Assumptions!C48*J124+Assumptions!B7*1000)/J122</f>
        <v/>
      </c>
      <c r="K129" s="34">
        <f>(Assumptions!C48*K124+Assumptions!B7*1000)/K122</f>
        <v/>
      </c>
    </row>
    <row r="130">
      <c r="A130" s="2" t="inlineStr">
        <is>
          <t>Target ($/sh, FCF-lens)</t>
        </is>
      </c>
      <c r="J130" s="34">
        <f>(Assumptions!C51*J111+Assumptions!B7*1000)/J122</f>
        <v/>
      </c>
      <c r="K130" s="34">
        <f>(Assumptions!C51*K111+Assumptions!B7*1000)/K122</f>
        <v/>
      </c>
    </row>
    <row r="131">
      <c r="A131" s="2" t="inlineStr">
        <is>
          <t>Target (blended) — used as terminal $/sh in TSR</t>
        </is>
      </c>
      <c r="J131" s="46">
        <f>AVERAGE(J129,J130)</f>
        <v/>
      </c>
      <c r="K131" s="46">
        <f>AVERAGE(K129,K130)</f>
        <v/>
      </c>
    </row>
    <row r="133">
      <c r="A133" s="36" t="inlineStr">
        <is>
          <t>TOTAL SHAREHOLDER RETURN</t>
        </is>
      </c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</row>
    <row r="134">
      <c r="A134" t="inlineStr">
        <is>
          <t>Entry price source:</t>
        </is>
      </c>
      <c r="B134" s="6">
        <f>Assumptions!B4</f>
        <v/>
      </c>
      <c r="C134" s="44" t="inlineStr">
        <is>
          <t>Assumptions!B4 (anchor inputs)</t>
        </is>
      </c>
    </row>
    <row r="135">
      <c r="A135" s="2" t="inlineStr">
        <is>
          <t>Metric</t>
        </is>
      </c>
      <c r="J135" s="17" t="inlineStr">
        <is>
          <t>3-yr (FY29)</t>
        </is>
      </c>
      <c r="K135" s="17" t="inlineStr">
        <is>
          <t>4-yr (FY30)</t>
        </is>
      </c>
    </row>
    <row r="136">
      <c r="A136" t="inlineStr">
        <is>
          <t>Entry price ($/sh)</t>
        </is>
      </c>
      <c r="J136" s="6">
        <f>Assumptions!B4</f>
        <v/>
      </c>
      <c r="K136" s="6">
        <f>Assumptions!B4</f>
        <v/>
      </c>
      <c r="L136" s="44" t="inlineStr">
        <is>
          <t>Assumptions!B4</t>
        </is>
      </c>
    </row>
    <row r="137">
      <c r="A137" s="2" t="inlineStr">
        <is>
          <t>Terminal price ($/sh)</t>
        </is>
      </c>
      <c r="J137" s="6">
        <f>J131</f>
        <v/>
      </c>
      <c r="K137" s="6">
        <f>K131</f>
        <v/>
      </c>
      <c r="L137" s="44" t="inlineStr">
        <is>
          <t>J/K of Target (blended) row 131</t>
        </is>
      </c>
    </row>
    <row r="138">
      <c r="A138" t="inlineStr">
        <is>
          <t>Price Δ ($/sh)</t>
        </is>
      </c>
      <c r="J138" s="7">
        <f>J137-J136</f>
        <v/>
      </c>
      <c r="K138" s="7">
        <f>K137-K136</f>
        <v/>
      </c>
    </row>
    <row r="139">
      <c r="A139" t="inlineStr">
        <is>
          <t>Cumulative dividends ($/sh)</t>
        </is>
      </c>
      <c r="J139" s="6">
        <f>J118</f>
        <v/>
      </c>
      <c r="K139" s="6">
        <f>K118</f>
        <v/>
      </c>
      <c r="L139" s="44" t="inlineStr">
        <is>
          <t>From Capital Return cumulative dividends row</t>
        </is>
      </c>
    </row>
    <row r="140">
      <c r="A140" t="inlineStr">
        <is>
          <t>Cumulative buyback dollars ($M)</t>
        </is>
      </c>
      <c r="J140" s="8">
        <f>SUM(H119:J119)</f>
        <v/>
      </c>
      <c r="K140" s="8">
        <f>SUM(H119:K119)</f>
        <v/>
      </c>
      <c r="L140" s="44" t="inlineStr">
        <is>
          <t>SUM of Buybacks total row (119)</t>
        </is>
      </c>
    </row>
    <row r="141">
      <c r="A141" t="inlineStr">
        <is>
          <t>Implied buyback value / surviving share ($/sh)</t>
        </is>
      </c>
      <c r="J141" s="6">
        <f>J140/J122</f>
        <v/>
      </c>
      <c r="K141" s="6">
        <f>K140/K122</f>
        <v/>
      </c>
      <c r="L141" s="44">
        <f> cum BB $M / diluted shares row 122</f>
        <v/>
      </c>
    </row>
    <row r="143">
      <c r="A143" s="3" t="inlineStr">
        <is>
          <t>TSR DECOMPOSITION (% of entry price)</t>
        </is>
      </c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</row>
    <row r="144">
      <c r="A144" t="inlineStr">
        <is>
          <t>Price appreciation contribution (%)</t>
        </is>
      </c>
      <c r="J144" s="39">
        <f>J138/J136</f>
        <v/>
      </c>
      <c r="K144" s="39">
        <f>K138/K136</f>
        <v/>
      </c>
    </row>
    <row r="145">
      <c r="A145" t="inlineStr">
        <is>
          <t>Dividend contribution (%)</t>
        </is>
      </c>
      <c r="J145" s="39">
        <f>J139/J136</f>
        <v/>
      </c>
      <c r="K145" s="39">
        <f>K139/K136</f>
        <v/>
      </c>
    </row>
    <row r="146">
      <c r="A146" t="inlineStr">
        <is>
          <t>Buyback accretion contribution (%)</t>
        </is>
      </c>
      <c r="J146" s="39">
        <f>J141/J136</f>
        <v/>
      </c>
      <c r="K146" s="39">
        <f>K141/K136</f>
        <v/>
      </c>
    </row>
    <row r="147">
      <c r="A147" s="2" t="inlineStr">
        <is>
          <t>Total TSR % (= sum of 3 components)</t>
        </is>
      </c>
      <c r="J147" s="47">
        <f>J144+J145+J146</f>
        <v/>
      </c>
      <c r="K147" s="47">
        <f>K144+K145+K146</f>
        <v/>
      </c>
    </row>
    <row r="148">
      <c r="A148" s="2" t="inlineStr">
        <is>
          <t>IRR (annualized, %)</t>
        </is>
      </c>
      <c r="J148" s="9">
        <f>(1+J147)^(1/3)-1</f>
        <v/>
      </c>
      <c r="K148" s="9">
        <f>(1+K147)^(1/4)-1</f>
        <v/>
      </c>
    </row>
    <row r="149">
      <c r="A149" s="44" t="inlineStr">
        <is>
          <t>Sanity: components sum (should match Total TSR)</t>
        </is>
      </c>
      <c r="J149" s="39">
        <f>J144+J145+J146</f>
        <v/>
      </c>
      <c r="K149" s="39">
        <f>K144+K145+K146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Bear</t>
        </is>
      </c>
    </row>
    <row r="3">
      <c r="A3" s="2" t="inlineStr">
        <is>
          <t>Period</t>
        </is>
      </c>
      <c r="B3" s="25" t="inlineStr">
        <is>
          <t>Actual</t>
        </is>
      </c>
      <c r="C3" s="25" t="inlineStr">
        <is>
          <t>Actual</t>
        </is>
      </c>
      <c r="D3" s="25" t="inlineStr">
        <is>
          <t>Actual</t>
        </is>
      </c>
      <c r="E3" s="25" t="inlineStr">
        <is>
          <t>Actual</t>
        </is>
      </c>
      <c r="F3" s="25" t="inlineStr">
        <is>
          <t>Actual</t>
        </is>
      </c>
      <c r="G3" s="25" t="inlineStr">
        <is>
          <t>Actual</t>
        </is>
      </c>
      <c r="H3" s="26" t="inlineStr">
        <is>
          <t>Forecast</t>
        </is>
      </c>
      <c r="I3" s="26" t="inlineStr">
        <is>
          <t>Forecast</t>
        </is>
      </c>
      <c r="J3" s="26" t="inlineStr">
        <is>
          <t>Forecast</t>
        </is>
      </c>
      <c r="K3" s="26" t="inlineStr">
        <is>
          <t>Forecast</t>
        </is>
      </c>
      <c r="L3" t="inlineStr"/>
      <c r="M3" s="27" t="inlineStr">
        <is>
          <t>CAGR</t>
        </is>
      </c>
      <c r="N3" s="27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8" t="inlineStr">
        <is>
          <t>FY27E</t>
        </is>
      </c>
      <c r="I4" s="28" t="inlineStr">
        <is>
          <t>FY28E</t>
        </is>
      </c>
      <c r="J4" s="28" t="inlineStr">
        <is>
          <t>FY29E</t>
        </is>
      </c>
      <c r="K4" s="28" t="inlineStr">
        <is>
          <t>FY30E</t>
        </is>
      </c>
      <c r="L4" t="inlineStr"/>
      <c r="M4" s="29" t="inlineStr">
        <is>
          <t>CAGR FY21-25</t>
        </is>
      </c>
      <c r="N4" s="29" t="inlineStr">
        <is>
          <t>CAGR FY26-30</t>
        </is>
      </c>
    </row>
    <row r="5">
      <c r="A5" s="30" t="inlineStr">
        <is>
          <t>REVENUE BUILD (driven by Assumptions Unit Economics block)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31">
        <f>Assumptions!C72</f>
        <v/>
      </c>
      <c r="I6" s="31">
        <f>Assumptions!D72</f>
        <v/>
      </c>
      <c r="J6" s="31">
        <f>Assumptions!E72</f>
        <v/>
      </c>
      <c r="K6" s="31">
        <f>Assumptions!F72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2">
        <f>Assumptions!C76</f>
        <v/>
      </c>
      <c r="I7" s="32">
        <f>Assumptions!D76</f>
        <v/>
      </c>
      <c r="J7" s="32">
        <f>Assumptions!E76</f>
        <v/>
      </c>
      <c r="K7" s="32">
        <f>Assumptions!F76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3">
        <f>H6*H7*12</f>
        <v/>
      </c>
      <c r="I8" s="33">
        <f>I6*I7*12</f>
        <v/>
      </c>
      <c r="J8" s="33">
        <f>J6*J7*12</f>
        <v/>
      </c>
      <c r="K8" s="33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3">
        <f>Assumptions!C84</f>
        <v/>
      </c>
      <c r="I9" s="33">
        <f>Assumptions!D84</f>
        <v/>
      </c>
      <c r="J9" s="33">
        <f>Assumptions!E84</f>
        <v/>
      </c>
      <c r="K9" s="33">
        <f>Assumptions!F84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4">
        <f>Assumptions!C88</f>
        <v/>
      </c>
      <c r="I10" s="34">
        <f>Assumptions!D88</f>
        <v/>
      </c>
      <c r="J10" s="34">
        <f>Assumptions!E88</f>
        <v/>
      </c>
      <c r="K10" s="34">
        <f>Assumptions!F88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3">
        <f>H9*H10/1000</f>
        <v/>
      </c>
      <c r="I11" s="33">
        <f>I9*I10/1000</f>
        <v/>
      </c>
      <c r="J11" s="33">
        <f>J9*J10/1000</f>
        <v/>
      </c>
      <c r="K11" s="33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3">
        <f>Revenue_Build!B49</f>
        <v/>
      </c>
      <c r="I12" s="33">
        <f>Revenue_Build!C49</f>
        <v/>
      </c>
      <c r="J12" s="33">
        <f>Revenue_Build!D49</f>
        <v/>
      </c>
      <c r="K12" s="33">
        <f>Revenue_Build!E49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3">
        <f>Revenue_Build!B50</f>
        <v/>
      </c>
      <c r="I13" s="33">
        <f>Revenue_Build!C50</f>
        <v/>
      </c>
      <c r="J13" s="33">
        <f>Revenue_Build!D50</f>
        <v/>
      </c>
      <c r="K13" s="33">
        <f>Revenue_Build!E50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3">
        <f>Revenue_Build!B52</f>
        <v/>
      </c>
      <c r="I14" s="33">
        <f>Revenue_Build!C52</f>
        <v/>
      </c>
      <c r="J14" s="33">
        <f>Revenue_Build!D52</f>
        <v/>
      </c>
      <c r="K14" s="33">
        <f>Revenue_Build!E52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3">
        <f>H8+H11+H13+H14</f>
        <v/>
      </c>
      <c r="I15" s="33">
        <f>I8+I11+I13+I14</f>
        <v/>
      </c>
      <c r="J15" s="33">
        <f>J8+J11+J13+J14</f>
        <v/>
      </c>
      <c r="K15" s="33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</row>
    <row r="18">
      <c r="A18" t="inlineStr">
        <is>
          <t>Revenue growth %</t>
        </is>
      </c>
      <c r="H18" s="35">
        <f>Assumptions!C13</f>
        <v/>
      </c>
      <c r="I18" s="35">
        <f>Assumptions!D13</f>
        <v/>
      </c>
      <c r="J18" s="35">
        <f>Assumptions!E13</f>
        <v/>
      </c>
      <c r="K18" s="35">
        <f>Assumptions!F13</f>
        <v/>
      </c>
    </row>
    <row r="19">
      <c r="A19" t="inlineStr">
        <is>
          <t>Backlog growth %</t>
        </is>
      </c>
      <c r="H19" s="35">
        <f>Assumptions!C17</f>
        <v/>
      </c>
      <c r="I19" s="35">
        <f>Assumptions!D17</f>
        <v/>
      </c>
      <c r="J19" s="35">
        <f>Assumptions!E17</f>
        <v/>
      </c>
      <c r="K19" s="35">
        <f>Assumptions!F17</f>
        <v/>
      </c>
    </row>
    <row r="20">
      <c r="A20" t="inlineStr">
        <is>
          <t>Cost of rev (% rev)</t>
        </is>
      </c>
      <c r="H20" s="35">
        <f>Assumptions!C21</f>
        <v/>
      </c>
      <c r="I20" s="35">
        <f>Assumptions!D21</f>
        <v/>
      </c>
      <c r="J20" s="35">
        <f>Assumptions!E21</f>
        <v/>
      </c>
      <c r="K20" s="35">
        <f>Assumptions!F21</f>
        <v/>
      </c>
    </row>
    <row r="21">
      <c r="A21" t="inlineStr">
        <is>
          <t>R&amp;D (% rev)</t>
        </is>
      </c>
      <c r="H21" s="35">
        <f>Assumptions!C25</f>
        <v/>
      </c>
      <c r="I21" s="35">
        <f>Assumptions!D25</f>
        <v/>
      </c>
      <c r="J21" s="35">
        <f>Assumptions!E25</f>
        <v/>
      </c>
      <c r="K21" s="35">
        <f>Assumptions!F25</f>
        <v/>
      </c>
    </row>
    <row r="22">
      <c r="A22" t="inlineStr">
        <is>
          <t>S&amp;M (% rev)</t>
        </is>
      </c>
      <c r="H22" s="35">
        <f>Assumptions!C29</f>
        <v/>
      </c>
      <c r="I22" s="35">
        <f>Assumptions!D29</f>
        <v/>
      </c>
      <c r="J22" s="35">
        <f>Assumptions!E29</f>
        <v/>
      </c>
      <c r="K22" s="35">
        <f>Assumptions!F29</f>
        <v/>
      </c>
    </row>
    <row r="23">
      <c r="A23" t="inlineStr">
        <is>
          <t>G&amp;A (% rev)</t>
        </is>
      </c>
      <c r="H23" s="35">
        <f>Assumptions!C33</f>
        <v/>
      </c>
      <c r="I23" s="35">
        <f>Assumptions!D33</f>
        <v/>
      </c>
      <c r="J23" s="35">
        <f>Assumptions!E33</f>
        <v/>
      </c>
      <c r="K23" s="35">
        <f>Assumptions!F33</f>
        <v/>
      </c>
    </row>
    <row r="24">
      <c r="A24" t="inlineStr">
        <is>
          <t>SBC (% rev)</t>
        </is>
      </c>
      <c r="H24" s="35">
        <f>Assumptions!C37</f>
        <v/>
      </c>
      <c r="I24" s="35">
        <f>Assumptions!D37</f>
        <v/>
      </c>
      <c r="J24" s="35">
        <f>Assumptions!E37</f>
        <v/>
      </c>
      <c r="K24" s="35">
        <f>Assumptions!F37</f>
        <v/>
      </c>
    </row>
    <row r="25">
      <c r="A25" t="inlineStr">
        <is>
          <t>CFO margin</t>
        </is>
      </c>
      <c r="H25" s="35">
        <f>Assumptions!C41</f>
        <v/>
      </c>
      <c r="I25" s="35">
        <f>Assumptions!D41</f>
        <v/>
      </c>
      <c r="J25" s="35">
        <f>Assumptions!E41</f>
        <v/>
      </c>
      <c r="K25" s="35">
        <f>Assumptions!F41</f>
        <v/>
      </c>
    </row>
    <row r="26">
      <c r="A26" t="inlineStr">
        <is>
          <t>Buyback (%/yr)</t>
        </is>
      </c>
      <c r="H26" s="35">
        <f>Assumptions!C45</f>
        <v/>
      </c>
      <c r="I26" s="35">
        <f>Assumptions!D45</f>
        <v/>
      </c>
      <c r="J26" s="35">
        <f>Assumptions!E45</f>
        <v/>
      </c>
      <c r="K26" s="35">
        <f>Assumptions!F45</f>
        <v/>
      </c>
    </row>
    <row r="28">
      <c r="A28" s="36" t="inlineStr">
        <is>
          <t>INCOME STATEMENT</t>
        </is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3">
        <f>H15</f>
        <v/>
      </c>
      <c r="I29" s="33">
        <f>I15</f>
        <v/>
      </c>
      <c r="J29" s="33">
        <f>J15</f>
        <v/>
      </c>
      <c r="K29" s="33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8">
        <f>H29*Assumptions!C21</f>
        <v/>
      </c>
      <c r="I30" s="38">
        <f>I29*Assumptions!D21</f>
        <v/>
      </c>
      <c r="J30" s="38">
        <f>J29*Assumptions!E21</f>
        <v/>
      </c>
      <c r="K30" s="38">
        <f>K29*Assumptions!F21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3">
        <f>H29-H30</f>
        <v/>
      </c>
      <c r="I31" s="33">
        <f>I29-I30</f>
        <v/>
      </c>
      <c r="J31" s="33">
        <f>J29-J30</f>
        <v/>
      </c>
      <c r="K31" s="33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8">
        <f>H29*Assumptions!C25</f>
        <v/>
      </c>
      <c r="I32" s="38">
        <f>I29*Assumptions!D25</f>
        <v/>
      </c>
      <c r="J32" s="38">
        <f>J29*Assumptions!E25</f>
        <v/>
      </c>
      <c r="K32" s="38">
        <f>K29*Assumptions!F25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8">
        <f>H29*Assumptions!C29</f>
        <v/>
      </c>
      <c r="I33" s="38">
        <f>I29*Assumptions!D29</f>
        <v/>
      </c>
      <c r="J33" s="38">
        <f>J29*Assumptions!E29</f>
        <v/>
      </c>
      <c r="K33" s="38">
        <f>K29*Assumptions!F29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8">
        <f>H29*Assumptions!C33</f>
        <v/>
      </c>
      <c r="I34" s="38">
        <f>I29*Assumptions!D33</f>
        <v/>
      </c>
      <c r="J34" s="38">
        <f>J29*Assumptions!E33</f>
        <v/>
      </c>
      <c r="K34" s="38">
        <f>K29*Assumptions!F33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8">
        <f>H31-H32-H33-H34-Assumptions!C100</f>
        <v/>
      </c>
      <c r="I35" s="38">
        <f>I31-I32-I33-I34-Assumptions!D100</f>
        <v/>
      </c>
      <c r="J35" s="38">
        <f>J31-J32-J33-J34-Assumptions!E100</f>
        <v/>
      </c>
      <c r="K35" s="38">
        <f>K31-K32-K33-K34-Assumptions!F100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5">
        <f>IFERROR(H35/H29,"")</f>
        <v/>
      </c>
      <c r="I36" s="35">
        <f>IFERROR(I35/I29,"")</f>
        <v/>
      </c>
      <c r="J36" s="35">
        <f>IFERROR(J35/J29,"")</f>
        <v/>
      </c>
      <c r="K36" s="35">
        <f>IFERROR(K35/K29,"")</f>
        <v/>
      </c>
      <c r="M36" s="39">
        <f>IFERROR(F36-B36, "")</f>
        <v/>
      </c>
      <c r="N36" s="39">
        <f>IFERROR(K36-G36, "")</f>
        <v/>
      </c>
    </row>
    <row r="37">
      <c r="A37" t="inlineStr">
        <is>
          <t>Interest income (% × prior cash+sec)</t>
        </is>
      </c>
      <c r="G37" s="13" t="n">
        <v>318</v>
      </c>
      <c r="H37" s="33">
        <f>Assumptions!C97*(G46+G47)</f>
        <v/>
      </c>
      <c r="I37" s="33">
        <f>Assumptions!D97*(H46+H47)</f>
        <v/>
      </c>
      <c r="J37" s="33">
        <f>Assumptions!E97*(I46+I47)</f>
        <v/>
      </c>
      <c r="K37" s="33">
        <f>Assumptions!F97*(J46+J47)</f>
        <v/>
      </c>
    </row>
    <row r="38">
      <c r="A38" t="inlineStr">
        <is>
          <t>Interest expense (% × debt)</t>
        </is>
      </c>
      <c r="G38" s="20" t="n">
        <v>-105</v>
      </c>
      <c r="H38" s="38">
        <f>-Assumptions!C98*H68</f>
        <v/>
      </c>
      <c r="I38" s="38">
        <f>-Assumptions!D98*I68</f>
        <v/>
      </c>
      <c r="J38" s="38">
        <f>-Assumptions!E98*J68</f>
        <v/>
      </c>
      <c r="K38" s="38">
        <f>-Assumptions!F98*K68</f>
        <v/>
      </c>
    </row>
    <row r="39">
      <c r="A39" s="2" t="inlineStr">
        <is>
          <t>Pre-tax income</t>
        </is>
      </c>
      <c r="G39" s="20" t="n">
        <v>1009</v>
      </c>
      <c r="H39" s="38">
        <f>H35+H37+H38</f>
        <v/>
      </c>
      <c r="I39" s="38">
        <f>I35+I37+I38</f>
        <v/>
      </c>
      <c r="J39" s="38">
        <f>J35+J37+J38</f>
        <v/>
      </c>
      <c r="K39" s="38">
        <f>K35+K37+K38</f>
        <v/>
      </c>
    </row>
    <row r="40">
      <c r="A40" t="inlineStr">
        <is>
          <t>Tax expense (tax rate × pre-tax)</t>
        </is>
      </c>
      <c r="G40" s="20" t="n">
        <v>-316</v>
      </c>
      <c r="H40" s="38">
        <f>-H39*Assumptions!C99</f>
        <v/>
      </c>
      <c r="I40" s="38">
        <f>-I39*Assumptions!D99</f>
        <v/>
      </c>
      <c r="J40" s="38">
        <f>-J39*Assumptions!E99</f>
        <v/>
      </c>
      <c r="K40" s="38">
        <f>-K39*Assumptions!F99</f>
        <v/>
      </c>
    </row>
    <row r="41">
      <c r="A41" s="2" t="inlineStr">
        <is>
          <t>Net income (GAAP)</t>
        </is>
      </c>
      <c r="B41" s="20" t="n">
        <v>-282.4</v>
      </c>
      <c r="C41" s="20" t="n">
        <v>29</v>
      </c>
      <c r="D41" s="20" t="n">
        <v>-367</v>
      </c>
      <c r="E41" s="20" t="n">
        <v>1381</v>
      </c>
      <c r="F41" s="20" t="n">
        <v>526</v>
      </c>
      <c r="G41" s="20" t="n">
        <v>693</v>
      </c>
      <c r="H41" s="24">
        <f>H39+H40</f>
        <v/>
      </c>
      <c r="I41" s="24">
        <f>I39+I40</f>
        <v/>
      </c>
      <c r="J41" s="24">
        <f>J39+J40</f>
        <v/>
      </c>
      <c r="K41" s="24">
        <f>K39+K40</f>
        <v/>
      </c>
      <c r="M41" s="10">
        <f>IFERROR(IF(OR(B41&lt;=0,F41&lt;=0),"N/M",(F41/B41)^(1/4)-1), "N/M")</f>
        <v/>
      </c>
      <c r="N41" s="10">
        <f>IFERROR(IF(OR(G41&lt;=0,K41&lt;=0),"N/M",(K41/G41)^(1/4)-1), "N/M")</f>
        <v/>
      </c>
    </row>
    <row r="42">
      <c r="A42" s="2" t="inlineStr">
        <is>
          <t>Diluted EPS</t>
        </is>
      </c>
      <c r="G42" s="6" t="n">
        <v>2.59</v>
      </c>
      <c r="H42" s="32">
        <f>H41/H122</f>
        <v/>
      </c>
      <c r="I42" s="32">
        <f>I41/I122</f>
        <v/>
      </c>
      <c r="J42" s="32">
        <f>J41/J122</f>
        <v/>
      </c>
      <c r="K42" s="32">
        <f>K41/K122</f>
        <v/>
      </c>
    </row>
    <row r="44">
      <c r="A44" s="36" t="inlineStr">
        <is>
          <t>BALANCE SHEET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</row>
    <row r="45">
      <c r="A45" s="3" t="inlineStr">
        <is>
          <t>ASSETS</t>
        </is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</row>
    <row r="46">
      <c r="A46" t="inlineStr">
        <is>
          <t>Cash &amp; equivalents</t>
        </is>
      </c>
      <c r="B46" s="20" t="n">
        <v>1384.2</v>
      </c>
      <c r="C46" s="20" t="n">
        <v>1534</v>
      </c>
      <c r="D46" s="20" t="n">
        <v>1886</v>
      </c>
      <c r="E46" s="20" t="n">
        <v>2012</v>
      </c>
      <c r="F46" s="20" t="n">
        <v>1543</v>
      </c>
      <c r="G46" s="20" t="n">
        <v>1501</v>
      </c>
      <c r="H46" s="38">
        <f>G46+H107</f>
        <v/>
      </c>
      <c r="I46" s="38">
        <f>H46+I107</f>
        <v/>
      </c>
      <c r="J46" s="38">
        <f>I46+J107</f>
        <v/>
      </c>
      <c r="K46" s="38">
        <f>J46+K107</f>
        <v/>
      </c>
    </row>
    <row r="47">
      <c r="A47" t="inlineStr">
        <is>
          <t>Marketable securities</t>
        </is>
      </c>
      <c r="G47" s="20" t="n">
        <v>3942</v>
      </c>
      <c r="H47" s="38">
        <f>G47</f>
        <v/>
      </c>
      <c r="I47" s="38">
        <f>H47</f>
        <v/>
      </c>
      <c r="J47" s="38">
        <f>I47</f>
        <v/>
      </c>
      <c r="K47" s="38">
        <f>J47</f>
        <v/>
      </c>
    </row>
    <row r="48">
      <c r="A48" t="inlineStr">
        <is>
          <t>Accounts receivable</t>
        </is>
      </c>
      <c r="B48" s="20" t="n">
        <v>1032.5</v>
      </c>
      <c r="C48" s="20" t="n">
        <v>1242.5</v>
      </c>
      <c r="D48" s="20" t="n">
        <v>1570</v>
      </c>
      <c r="E48" s="20" t="n">
        <v>1639</v>
      </c>
      <c r="F48" s="20" t="n">
        <v>1950</v>
      </c>
      <c r="G48" s="20" t="n">
        <v>2332</v>
      </c>
      <c r="H48" s="38">
        <f>(Assumptions!C101/365)*H29</f>
        <v/>
      </c>
      <c r="I48" s="38">
        <f>(Assumptions!D101/365)*I29</f>
        <v/>
      </c>
      <c r="J48" s="38">
        <f>(Assumptions!E101/365)*J29</f>
        <v/>
      </c>
      <c r="K48" s="38">
        <f>(Assumptions!F101/365)*K29</f>
        <v/>
      </c>
    </row>
    <row r="49">
      <c r="A49" t="inlineStr">
        <is>
          <t>Prepaid + other current</t>
        </is>
      </c>
      <c r="G49" s="20" t="n">
        <v>348</v>
      </c>
      <c r="H49" s="38">
        <f>H29*Assumptions!C102</f>
        <v/>
      </c>
      <c r="I49" s="38">
        <f>I29*Assumptions!D102</f>
        <v/>
      </c>
      <c r="J49" s="38">
        <f>J29*Assumptions!E102</f>
        <v/>
      </c>
      <c r="K49" s="38">
        <f>K29*Assumptions!F102</f>
        <v/>
      </c>
    </row>
    <row r="50">
      <c r="A50" t="inlineStr">
        <is>
          <t>Deferred costs (current)</t>
        </is>
      </c>
      <c r="G50" s="20" t="n">
        <v>306</v>
      </c>
      <c r="H50" s="38">
        <f>H29*Assumptions!C103</f>
        <v/>
      </c>
      <c r="I50" s="38">
        <f>I29*Assumptions!D103</f>
        <v/>
      </c>
      <c r="J50" s="38">
        <f>J29*Assumptions!E103</f>
        <v/>
      </c>
      <c r="K50" s="38">
        <f>K29*Assumptions!F103</f>
        <v/>
      </c>
    </row>
    <row r="51">
      <c r="A51" t="inlineStr">
        <is>
          <t>Property, plant &amp; equipment</t>
        </is>
      </c>
      <c r="G51" s="20" t="n">
        <v>1093</v>
      </c>
      <c r="H51" s="38">
        <f>G51+Assumptions!C112-Assumptions!C115</f>
        <v/>
      </c>
      <c r="I51" s="38">
        <f>H51+Assumptions!D112-Assumptions!D115</f>
        <v/>
      </c>
      <c r="J51" s="38">
        <f>I51+Assumptions!E112-Assumptions!E115</f>
        <v/>
      </c>
      <c r="K51" s="38">
        <f>J51+Assumptions!F112-Assumptions!F115</f>
        <v/>
      </c>
    </row>
    <row r="52">
      <c r="A52" t="inlineStr">
        <is>
          <t>Operating lease ROU</t>
        </is>
      </c>
      <c r="G52" s="20" t="n">
        <v>719</v>
      </c>
      <c r="H52" s="38">
        <f>G52</f>
        <v/>
      </c>
      <c r="I52" s="38">
        <f>H52</f>
        <v/>
      </c>
      <c r="J52" s="38">
        <f>I52</f>
        <v/>
      </c>
      <c r="K52" s="38">
        <f>J52</f>
        <v/>
      </c>
    </row>
    <row r="53">
      <c r="A53" t="inlineStr">
        <is>
          <t>Goodwill</t>
        </is>
      </c>
      <c r="G53" s="20" t="n">
        <v>5229</v>
      </c>
      <c r="H53" s="38">
        <f>G53</f>
        <v/>
      </c>
      <c r="I53" s="38">
        <f>H53</f>
        <v/>
      </c>
      <c r="J53" s="38">
        <f>I53</f>
        <v/>
      </c>
      <c r="K53" s="38">
        <f>J53</f>
        <v/>
      </c>
    </row>
    <row r="54">
      <c r="A54" t="inlineStr">
        <is>
          <t>Intangibles (net)</t>
        </is>
      </c>
      <c r="G54" s="20" t="n">
        <v>600</v>
      </c>
      <c r="H54" s="38">
        <f>G54-Assumptions!C109</f>
        <v/>
      </c>
      <c r="I54" s="38">
        <f>H54-Assumptions!D109</f>
        <v/>
      </c>
      <c r="J54" s="38">
        <f>I54-Assumptions!E109</f>
        <v/>
      </c>
      <c r="K54" s="38">
        <f>J54-Assumptions!F109</f>
        <v/>
      </c>
    </row>
    <row r="55">
      <c r="A55" t="inlineStr">
        <is>
          <t>Deferred contract costs (NC)</t>
        </is>
      </c>
      <c r="G55" s="20" t="n">
        <v>634</v>
      </c>
      <c r="H55" s="38">
        <f>H29*Assumptions!C104</f>
        <v/>
      </c>
      <c r="I55" s="38">
        <f>I29*Assumptions!D104</f>
        <v/>
      </c>
      <c r="J55" s="38">
        <f>J29*Assumptions!E104</f>
        <v/>
      </c>
      <c r="K55" s="38">
        <f>K29*Assumptions!F104</f>
        <v/>
      </c>
    </row>
    <row r="56">
      <c r="A56" t="inlineStr">
        <is>
          <t>Deferred tax assets</t>
        </is>
      </c>
      <c r="G56" s="20" t="n">
        <v>829</v>
      </c>
      <c r="H56" s="38">
        <f>G56</f>
        <v/>
      </c>
      <c r="I56" s="38">
        <f>H56</f>
        <v/>
      </c>
      <c r="J56" s="38">
        <f>I56</f>
        <v/>
      </c>
      <c r="K56" s="38">
        <f>J56</f>
        <v/>
      </c>
    </row>
    <row r="57">
      <c r="A57" t="inlineStr">
        <is>
          <t>Other assets (NC)</t>
        </is>
      </c>
      <c r="G57" s="20" t="n">
        <v>541</v>
      </c>
      <c r="H57" s="38">
        <f>G57</f>
        <v/>
      </c>
      <c r="I57" s="38">
        <f>H57</f>
        <v/>
      </c>
      <c r="J57" s="38">
        <f>I57</f>
        <v/>
      </c>
      <c r="K57" s="38">
        <f>J57</f>
        <v/>
      </c>
    </row>
    <row r="58">
      <c r="A58" s="2" t="inlineStr">
        <is>
          <t>Total assets</t>
        </is>
      </c>
      <c r="G58" s="24" t="n">
        <v>18074</v>
      </c>
      <c r="H58" s="24">
        <f>H46+H47+H48+H49+H50+H51+H52+H53+H54+H55+H56+H57</f>
        <v/>
      </c>
      <c r="I58" s="24">
        <f>I46+I47+I48+I49+I50+I51+I52+I53+I54+I55+I56+I57</f>
        <v/>
      </c>
      <c r="J58" s="24">
        <f>J46+J47+J48+J49+J50+J51+J52+J53+J54+J55+J56+J57</f>
        <v/>
      </c>
      <c r="K58" s="24">
        <f>K46+K47+K48+K49+K50+K51+K52+K53+K54+K55+K56+K57</f>
        <v/>
      </c>
    </row>
    <row r="60">
      <c r="A60" s="3" t="inlineStr">
        <is>
          <t>LIABILITIES</t>
        </is>
      </c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</row>
    <row r="61">
      <c r="A61" t="inlineStr">
        <is>
          <t>Accounts payable</t>
        </is>
      </c>
      <c r="G61" s="20" t="n">
        <v>142</v>
      </c>
      <c r="H61" s="38">
        <f>H29*Assumptions!C105</f>
        <v/>
      </c>
      <c r="I61" s="38">
        <f>I29*Assumptions!D105</f>
        <v/>
      </c>
      <c r="J61" s="38">
        <f>J29*Assumptions!E105</f>
        <v/>
      </c>
      <c r="K61" s="38">
        <f>K29*Assumptions!F105</f>
        <v/>
      </c>
    </row>
    <row r="62">
      <c r="A62" t="inlineStr">
        <is>
          <t>Accrued compensation</t>
        </is>
      </c>
      <c r="G62" s="20" t="n">
        <v>642</v>
      </c>
      <c r="H62" s="38">
        <f>H29*Assumptions!C106</f>
        <v/>
      </c>
      <c r="I62" s="38">
        <f>I29*Assumptions!D106</f>
        <v/>
      </c>
      <c r="J62" s="38">
        <f>J29*Assumptions!E106</f>
        <v/>
      </c>
      <c r="K62" s="38">
        <f>K29*Assumptions!F106</f>
        <v/>
      </c>
    </row>
    <row r="63">
      <c r="A63" t="inlineStr">
        <is>
          <t>Accrued other</t>
        </is>
      </c>
      <c r="G63" s="20" t="n">
        <v>454</v>
      </c>
      <c r="H63" s="38">
        <f>H29*Assumptions!C107</f>
        <v/>
      </c>
      <c r="I63" s="38">
        <f>I29*Assumptions!D107</f>
        <v/>
      </c>
      <c r="J63" s="38">
        <f>J29*Assumptions!E107</f>
        <v/>
      </c>
      <c r="K63" s="38">
        <f>K29*Assumptions!F107</f>
        <v/>
      </c>
    </row>
    <row r="64">
      <c r="A64" t="inlineStr">
        <is>
          <t>Deferred revenue (current)</t>
        </is>
      </c>
      <c r="B64" s="20" t="n">
        <v>2556.6</v>
      </c>
      <c r="C64" s="20" t="n">
        <v>3110.9</v>
      </c>
      <c r="D64" s="20" t="n">
        <v>3559</v>
      </c>
      <c r="E64" s="20" t="n">
        <v>4057</v>
      </c>
      <c r="F64" s="20" t="n">
        <v>4467</v>
      </c>
      <c r="G64" s="20" t="n">
        <v>5010</v>
      </c>
      <c r="H64" s="38">
        <f>Assumptions!C108*(H8+H11)+Revenue_Build!B51</f>
        <v/>
      </c>
      <c r="I64" s="38">
        <f>Assumptions!D108*(I8+I11)+Revenue_Build!C51</f>
        <v/>
      </c>
      <c r="J64" s="38">
        <f>Assumptions!E108*(J8+J11)+Revenue_Build!D51</f>
        <v/>
      </c>
      <c r="K64" s="38">
        <f>Assumptions!F108*(K8+K11)+Revenue_Build!E51</f>
        <v/>
      </c>
    </row>
    <row r="65">
      <c r="A65" t="inlineStr">
        <is>
          <t>Deferred revenue (NC)</t>
        </is>
      </c>
      <c r="B65" s="20" t="n">
        <v>80.09999999999999</v>
      </c>
      <c r="C65" s="20" t="n">
        <v>71.5</v>
      </c>
      <c r="D65" s="20" t="n">
        <v>75</v>
      </c>
      <c r="E65" s="20" t="n">
        <v>70</v>
      </c>
      <c r="F65" s="20" t="n">
        <v>80</v>
      </c>
      <c r="G65" s="20" t="n">
        <v>71</v>
      </c>
      <c r="H65" s="38">
        <f>G65</f>
        <v/>
      </c>
      <c r="I65" s="38">
        <f>H65</f>
        <v/>
      </c>
      <c r="J65" s="38">
        <f>I65</f>
        <v/>
      </c>
      <c r="K65" s="38">
        <f>J65</f>
        <v/>
      </c>
    </row>
    <row r="66">
      <c r="A66" t="inlineStr">
        <is>
          <t>Operating lease liab (current)</t>
        </is>
      </c>
      <c r="G66" s="20" t="n">
        <v>130</v>
      </c>
      <c r="H66" s="38">
        <f>G66</f>
        <v/>
      </c>
      <c r="I66" s="38">
        <f>H66</f>
        <v/>
      </c>
      <c r="J66" s="38">
        <f>I66</f>
        <v/>
      </c>
      <c r="K66" s="38">
        <f>J66</f>
        <v/>
      </c>
    </row>
    <row r="67">
      <c r="A67" t="inlineStr">
        <is>
          <t>Operating lease liab (NC)</t>
        </is>
      </c>
      <c r="G67" s="20" t="n">
        <v>704</v>
      </c>
      <c r="H67" s="38">
        <f>G67</f>
        <v/>
      </c>
      <c r="I67" s="38">
        <f>H67</f>
        <v/>
      </c>
      <c r="J67" s="38">
        <f>I67</f>
        <v/>
      </c>
      <c r="K67" s="38">
        <f>J67</f>
        <v/>
      </c>
    </row>
    <row r="68">
      <c r="A68" t="inlineStr">
        <is>
          <t>Senior convertible notes</t>
        </is>
      </c>
      <c r="G68" s="20" t="n">
        <v>2987</v>
      </c>
      <c r="H68" s="38">
        <f>G68</f>
        <v/>
      </c>
      <c r="I68" s="38">
        <f>H68</f>
        <v/>
      </c>
      <c r="J68" s="38">
        <f>I68</f>
        <v/>
      </c>
      <c r="K68" s="38">
        <f>J68</f>
        <v/>
      </c>
    </row>
    <row r="69">
      <c r="A69" t="inlineStr">
        <is>
          <t>Other long-term liabilities</t>
        </is>
      </c>
      <c r="G69" s="20" t="n">
        <v>129</v>
      </c>
      <c r="H69" s="38">
        <f>G69</f>
        <v/>
      </c>
      <c r="I69" s="38">
        <f>H69</f>
        <v/>
      </c>
      <c r="J69" s="38">
        <f>I69</f>
        <v/>
      </c>
      <c r="K69" s="38">
        <f>J69</f>
        <v/>
      </c>
    </row>
    <row r="70">
      <c r="A70" s="2" t="inlineStr">
        <is>
          <t>Total liabilities</t>
        </is>
      </c>
      <c r="G70" s="24" t="n">
        <v>10269</v>
      </c>
      <c r="H70" s="24">
        <f>H61+H62+H63+H64+H65+H66+H67+H68+H69</f>
        <v/>
      </c>
      <c r="I70" s="24">
        <f>I61+I62+I63+I64+I65+I66+I67+I68+I69</f>
        <v/>
      </c>
      <c r="J70" s="24">
        <f>J61+J62+J63+J64+J65+J66+J67+J68+J69</f>
        <v/>
      </c>
      <c r="K70" s="24">
        <f>K61+K62+K63+K64+K65+K66+K67+K68+K69</f>
        <v/>
      </c>
    </row>
    <row r="72">
      <c r="A72" s="3" t="inlineStr">
        <is>
          <t>EQUITY</t>
        </is>
      </c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</row>
    <row r="73">
      <c r="A73" t="inlineStr">
        <is>
          <t>Additional paid-in capital</t>
        </is>
      </c>
      <c r="G73" s="20" t="n">
        <v>12673</v>
      </c>
      <c r="H73" s="38">
        <f>G73+H86</f>
        <v/>
      </c>
      <c r="I73" s="38">
        <f>H73+I86</f>
        <v/>
      </c>
      <c r="J73" s="38">
        <f>I73+J86</f>
        <v/>
      </c>
      <c r="K73" s="38">
        <f>J73+K86</f>
        <v/>
      </c>
    </row>
    <row r="74">
      <c r="A74" t="inlineStr">
        <is>
          <t>Treasury stock</t>
        </is>
      </c>
      <c r="G74" s="20" t="n">
        <v>-4220</v>
      </c>
      <c r="H74" s="38">
        <f>G74+H102</f>
        <v/>
      </c>
      <c r="I74" s="38">
        <f>H74+I102</f>
        <v/>
      </c>
      <c r="J74" s="38">
        <f>I74+J102</f>
        <v/>
      </c>
      <c r="K74" s="38">
        <f>J74+K102</f>
        <v/>
      </c>
    </row>
    <row r="75">
      <c r="A75" t="inlineStr">
        <is>
          <t>Retained earnings / (deficit)</t>
        </is>
      </c>
      <c r="G75" s="20" t="n">
        <v>-512</v>
      </c>
      <c r="H75" s="38">
        <f>G75+H41+H103</f>
        <v/>
      </c>
      <c r="I75" s="38">
        <f>H75+I41+I103</f>
        <v/>
      </c>
      <c r="J75" s="38">
        <f>I75+J41+J103</f>
        <v/>
      </c>
      <c r="K75" s="38">
        <f>J75+K41+K103</f>
        <v/>
      </c>
    </row>
    <row r="76">
      <c r="A76" t="inlineStr">
        <is>
          <t>AOCI</t>
        </is>
      </c>
      <c r="G76" s="20" t="n">
        <v>-136</v>
      </c>
      <c r="H76" s="38">
        <f>G76</f>
        <v/>
      </c>
      <c r="I76" s="38">
        <f>H76</f>
        <v/>
      </c>
      <c r="J76" s="38">
        <f>I76</f>
        <v/>
      </c>
      <c r="K76" s="38">
        <f>J76</f>
        <v/>
      </c>
    </row>
    <row r="77">
      <c r="A77" s="2" t="inlineStr">
        <is>
          <t>Total stockholders' equity</t>
        </is>
      </c>
      <c r="G77" s="24" t="n">
        <v>7805</v>
      </c>
      <c r="H77" s="24">
        <f>H73+H74+H75+H76</f>
        <v/>
      </c>
      <c r="I77" s="24">
        <f>I73+I74+I75+I76</f>
        <v/>
      </c>
      <c r="J77" s="24">
        <f>J73+J74+J75+J76</f>
        <v/>
      </c>
      <c r="K77" s="24">
        <f>K73+K74+K75+K76</f>
        <v/>
      </c>
    </row>
    <row r="79">
      <c r="A79" s="2" t="inlineStr">
        <is>
          <t>Balance check: A − L − E (≈ 0)</t>
        </is>
      </c>
      <c r="G79" s="40" t="n">
        <v>0</v>
      </c>
      <c r="H79" s="40">
        <f>H58-H70-H77</f>
        <v/>
      </c>
      <c r="I79" s="40">
        <f>I58-I70-I77</f>
        <v/>
      </c>
      <c r="J79" s="40">
        <f>J58-J70-J77</f>
        <v/>
      </c>
      <c r="K79" s="40">
        <f>K58-K70-K77</f>
        <v/>
      </c>
    </row>
    <row r="81">
      <c r="A81" s="36" t="inlineStr">
        <is>
          <t>CASH FLOW STATEMENT</t>
        </is>
      </c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</row>
    <row r="82">
      <c r="A82" s="3" t="inlineStr">
        <is>
          <t>Operating activities</t>
        </is>
      </c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</row>
    <row r="83">
      <c r="A83" t="inlineStr">
        <is>
          <t>Net income</t>
        </is>
      </c>
      <c r="B83" s="20" t="n">
        <v>-282.4</v>
      </c>
      <c r="C83" s="20" t="n">
        <v>29</v>
      </c>
      <c r="D83" s="20" t="n">
        <v>-367</v>
      </c>
      <c r="E83" s="20" t="n">
        <v>1381</v>
      </c>
      <c r="F83" s="20" t="n">
        <v>526</v>
      </c>
      <c r="G83" s="20" t="n">
        <v>693</v>
      </c>
      <c r="H83" s="38">
        <f>H41</f>
        <v/>
      </c>
      <c r="I83" s="38">
        <f>I41</f>
        <v/>
      </c>
      <c r="J83" s="38">
        <f>J41</f>
        <v/>
      </c>
      <c r="K83" s="38">
        <f>K41</f>
        <v/>
      </c>
    </row>
    <row r="84">
      <c r="A84" t="inlineStr">
        <is>
          <t>+ Depreciation</t>
        </is>
      </c>
      <c r="G84" s="20" t="n">
        <v>237</v>
      </c>
      <c r="H84" s="38">
        <f>Assumptions!C115</f>
        <v/>
      </c>
      <c r="I84" s="38">
        <f>Assumptions!D115</f>
        <v/>
      </c>
      <c r="J84" s="38">
        <f>Assumptions!E115</f>
        <v/>
      </c>
      <c r="K84" s="38">
        <f>Assumptions!F115</f>
        <v/>
      </c>
    </row>
    <row r="85">
      <c r="A85" t="inlineStr">
        <is>
          <t>+ Amortization of intangibles</t>
        </is>
      </c>
      <c r="G85" s="20" t="n">
        <v>100</v>
      </c>
      <c r="H85" s="38">
        <f>Assumptions!C109</f>
        <v/>
      </c>
      <c r="I85" s="38">
        <f>Assumptions!D109</f>
        <v/>
      </c>
      <c r="J85" s="38">
        <f>Assumptions!E109</f>
        <v/>
      </c>
      <c r="K85" s="38">
        <f>Assumptions!F109</f>
        <v/>
      </c>
    </row>
    <row r="86">
      <c r="A86" t="inlineStr">
        <is>
          <t>+ Stock-based compensation</t>
        </is>
      </c>
      <c r="B86" s="20" t="n">
        <v>1004.9</v>
      </c>
      <c r="C86" s="20" t="n">
        <v>1101</v>
      </c>
      <c r="D86" s="20" t="n">
        <v>1295</v>
      </c>
      <c r="E86" s="20" t="n">
        <v>1416</v>
      </c>
      <c r="F86" s="20" t="n">
        <v>1519</v>
      </c>
      <c r="G86" s="20" t="n">
        <v>1626</v>
      </c>
      <c r="H86" s="38">
        <f>H29*Assumptions!C37</f>
        <v/>
      </c>
      <c r="I86" s="38">
        <f>I29*Assumptions!D37</f>
        <v/>
      </c>
      <c r="J86" s="38">
        <f>J29*Assumptions!E37</f>
        <v/>
      </c>
      <c r="K86" s="38">
        <f>K29*Assumptions!F37</f>
        <v/>
      </c>
    </row>
    <row r="87">
      <c r="A87" t="inlineStr">
        <is>
          <t>± Change in AR</t>
        </is>
      </c>
      <c r="H87" s="41">
        <f>-(H48-G48)</f>
        <v/>
      </c>
      <c r="I87" s="41">
        <f>-(I48-H48)</f>
        <v/>
      </c>
      <c r="J87" s="41">
        <f>-(J48-I48)</f>
        <v/>
      </c>
      <c r="K87" s="41">
        <f>-(K48-J48)</f>
        <v/>
      </c>
    </row>
    <row r="88">
      <c r="A88" t="inlineStr">
        <is>
          <t>± Change in deferred revenue</t>
        </is>
      </c>
      <c r="H88" s="41">
        <f>H64-G64</f>
        <v/>
      </c>
      <c r="I88" s="41">
        <f>I64-H64</f>
        <v/>
      </c>
      <c r="J88" s="41">
        <f>J64-I64</f>
        <v/>
      </c>
      <c r="K88" s="41">
        <f>K64-J64</f>
        <v/>
      </c>
    </row>
    <row r="89">
      <c r="A89" t="inlineStr">
        <is>
          <t>± Change in accrued comp</t>
        </is>
      </c>
      <c r="H89" s="41">
        <f>H62-G62</f>
        <v/>
      </c>
      <c r="I89" s="41">
        <f>I62-H62</f>
        <v/>
      </c>
      <c r="J89" s="41">
        <f>J62-I62</f>
        <v/>
      </c>
      <c r="K89" s="41">
        <f>K62-J62</f>
        <v/>
      </c>
    </row>
    <row r="90">
      <c r="A90" t="inlineStr">
        <is>
          <t>± Change in AP + accrued other</t>
        </is>
      </c>
      <c r="H90" s="41">
        <f>(H61+H63)-(G61+G63)</f>
        <v/>
      </c>
      <c r="I90" s="41">
        <f>(I61+I63)-(H61+H63)</f>
        <v/>
      </c>
      <c r="J90" s="41">
        <f>(J61+J63)-(I61+I63)</f>
        <v/>
      </c>
      <c r="K90" s="41">
        <f>(K61+K63)-(J61+J63)</f>
        <v/>
      </c>
    </row>
    <row r="91">
      <c r="A91" t="inlineStr">
        <is>
          <t>± Change in prepaid</t>
        </is>
      </c>
      <c r="H91" s="41">
        <f>-(H49-G49)</f>
        <v/>
      </c>
      <c r="I91" s="41">
        <f>-(I49-H49)</f>
        <v/>
      </c>
      <c r="J91" s="41">
        <f>-(J49-I49)</f>
        <v/>
      </c>
      <c r="K91" s="41">
        <f>-(K49-J49)</f>
        <v/>
      </c>
    </row>
    <row r="92">
      <c r="A92" t="inlineStr">
        <is>
          <t>± Change in deferred costs</t>
        </is>
      </c>
      <c r="H92" s="41">
        <f>-((H50+H55)-(G50+G55))</f>
        <v/>
      </c>
      <c r="I92" s="41">
        <f>-((I50+I55)-(H50+H55))</f>
        <v/>
      </c>
      <c r="J92" s="41">
        <f>-((J50+J55)-(I50+I55))</f>
        <v/>
      </c>
      <c r="K92" s="41">
        <f>-((K50+K55)-(J50+J55))</f>
        <v/>
      </c>
    </row>
    <row r="93">
      <c r="A93" s="2" t="inlineStr">
        <is>
          <t>Operating cash flow (=)</t>
        </is>
      </c>
      <c r="B93" s="13" t="n">
        <v>1268.4</v>
      </c>
      <c r="C93" s="13" t="n">
        <v>1651</v>
      </c>
      <c r="D93" s="13" t="n">
        <v>1657</v>
      </c>
      <c r="E93" s="13" t="n">
        <v>2149</v>
      </c>
      <c r="F93" s="13" t="n">
        <v>2461</v>
      </c>
      <c r="G93" s="12" t="n">
        <v>2939</v>
      </c>
      <c r="H93" s="12">
        <f>H83+H84+H85+H86+H87+H88+H89+H90+H91+H92</f>
        <v/>
      </c>
      <c r="I93" s="12">
        <f>I83+I84+I85+I86+I87+I88+I89+I90+I91+I92</f>
        <v/>
      </c>
      <c r="J93" s="12">
        <f>J83+J84+J85+J86+J87+J88+J89+J90+J91+J92</f>
        <v/>
      </c>
      <c r="K93" s="12">
        <f>K83+K84+K85+K86+K87+K88+K89+K90+K91+K92</f>
        <v/>
      </c>
    </row>
    <row r="95">
      <c r="A95" s="3" t="inlineStr">
        <is>
          <t>Investing activities</t>
        </is>
      </c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</row>
    <row r="96">
      <c r="A96" t="inlineStr">
        <is>
          <t>− Capex</t>
        </is>
      </c>
      <c r="D96" s="20" t="n">
        <v>364</v>
      </c>
      <c r="E96" s="20" t="n">
        <v>232</v>
      </c>
      <c r="F96" s="20" t="n">
        <v>269</v>
      </c>
      <c r="G96" s="20" t="n">
        <v>-162</v>
      </c>
      <c r="H96" s="38">
        <f>-Assumptions!C112</f>
        <v/>
      </c>
      <c r="I96" s="38">
        <f>-Assumptions!D112</f>
        <v/>
      </c>
      <c r="J96" s="38">
        <f>-Assumptions!E112</f>
        <v/>
      </c>
      <c r="K96" s="38">
        <f>-Assumptions!F112</f>
        <v/>
      </c>
    </row>
    <row r="97">
      <c r="A97" t="inlineStr">
        <is>
          <t>− Acquisitions</t>
        </is>
      </c>
      <c r="H97" s="38">
        <f>-Assumptions!C118</f>
        <v/>
      </c>
      <c r="I97" s="38">
        <f>-Assumptions!D118</f>
        <v/>
      </c>
      <c r="J97" s="38">
        <f>-Assumptions!E118</f>
        <v/>
      </c>
      <c r="K97" s="38">
        <f>-Assumptions!F118</f>
        <v/>
      </c>
    </row>
    <row r="98">
      <c r="A98" t="inlineStr">
        <is>
          <t>± Net marketable securities</t>
        </is>
      </c>
      <c r="H98" s="38">
        <f>Assumptions!C119</f>
        <v/>
      </c>
      <c r="I98" s="38">
        <f>Assumptions!D119</f>
        <v/>
      </c>
      <c r="J98" s="38">
        <f>Assumptions!E119</f>
        <v/>
      </c>
      <c r="K98" s="38">
        <f>Assumptions!F119</f>
        <v/>
      </c>
    </row>
    <row r="99">
      <c r="A99" s="2" t="inlineStr">
        <is>
          <t>Investing cash flow (=)</t>
        </is>
      </c>
      <c r="G99" s="24" t="n">
        <v>-162</v>
      </c>
      <c r="H99" s="24">
        <f>H96+H97+H98</f>
        <v/>
      </c>
      <c r="I99" s="24">
        <f>I96+I97+I98</f>
        <v/>
      </c>
      <c r="J99" s="24">
        <f>J96+J97+J98</f>
        <v/>
      </c>
      <c r="K99" s="24">
        <f>K96+K97+K98</f>
        <v/>
      </c>
    </row>
    <row r="101">
      <c r="A101" s="3" t="inlineStr">
        <is>
          <t>Financing activities</t>
        </is>
      </c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</row>
    <row r="102">
      <c r="A102" t="inlineStr">
        <is>
          <t>− Buybacks</t>
        </is>
      </c>
      <c r="H102" s="38">
        <f>-Assumptions!C45*G122*Assumptions!C117</f>
        <v/>
      </c>
      <c r="I102" s="38">
        <f>-Assumptions!D45*H122*Assumptions!D117</f>
        <v/>
      </c>
      <c r="J102" s="38">
        <f>-Assumptions!E45*I122*Assumptions!E117</f>
        <v/>
      </c>
      <c r="K102" s="38">
        <f>-Assumptions!F45*J122*Assumptions!F117</f>
        <v/>
      </c>
    </row>
    <row r="103">
      <c r="A103" t="inlineStr">
        <is>
          <t>− Dividends</t>
        </is>
      </c>
      <c r="H103" s="38">
        <f>-Assumptions!C116*(H93+H96)</f>
        <v/>
      </c>
      <c r="I103" s="38">
        <f>-Assumptions!D116*(I93+I96)</f>
        <v/>
      </c>
      <c r="J103" s="38">
        <f>-Assumptions!E116*(J93+J96)</f>
        <v/>
      </c>
      <c r="K103" s="38">
        <f>-Assumptions!F116*(K93+K96)</f>
        <v/>
      </c>
    </row>
    <row r="104">
      <c r="A104" t="inlineStr">
        <is>
          <t>± Net debt</t>
        </is>
      </c>
      <c r="H104" s="38">
        <f>Assumptions!C120</f>
        <v/>
      </c>
      <c r="I104" s="38">
        <f>Assumptions!D120</f>
        <v/>
      </c>
      <c r="J104" s="38">
        <f>Assumptions!E120</f>
        <v/>
      </c>
      <c r="K104" s="38">
        <f>Assumptions!F120</f>
        <v/>
      </c>
    </row>
    <row r="105">
      <c r="A105" s="2" t="inlineStr">
        <is>
          <t>Financing cash flow (=)</t>
        </is>
      </c>
      <c r="H105" s="24">
        <f>H102+H103+H104</f>
        <v/>
      </c>
      <c r="I105" s="24">
        <f>I102+I103+I104</f>
        <v/>
      </c>
      <c r="J105" s="24">
        <f>J102+J103+J104</f>
        <v/>
      </c>
      <c r="K105" s="24">
        <f>K102+K103+K104</f>
        <v/>
      </c>
    </row>
    <row r="107">
      <c r="A107" s="2" t="inlineStr">
        <is>
          <t>Net change in cash</t>
        </is>
      </c>
      <c r="H107" s="38">
        <f>H93+H99+H105</f>
        <v/>
      </c>
      <c r="I107" s="38">
        <f>I93+I99+I105</f>
        <v/>
      </c>
      <c r="J107" s="38">
        <f>J93+J99+J105</f>
        <v/>
      </c>
      <c r="K107" s="38">
        <f>K93+K99+K105</f>
        <v/>
      </c>
    </row>
    <row r="108">
      <c r="A108" s="2" t="inlineStr">
        <is>
          <t>Beginning cash</t>
        </is>
      </c>
      <c r="G108" s="20" t="n">
        <v>1501</v>
      </c>
      <c r="H108" s="38">
        <f>G46</f>
        <v/>
      </c>
      <c r="I108" s="38">
        <f>H46</f>
        <v/>
      </c>
      <c r="J108" s="38">
        <f>I46</f>
        <v/>
      </c>
      <c r="K108" s="38">
        <f>J46</f>
        <v/>
      </c>
    </row>
    <row r="109">
      <c r="A109" s="2" t="inlineStr">
        <is>
          <t>Ending cash (= BS cash)</t>
        </is>
      </c>
      <c r="G109" s="24" t="n">
        <v>1501</v>
      </c>
      <c r="H109" s="24">
        <f>H108+H107</f>
        <v/>
      </c>
      <c r="I109" s="24">
        <f>I108+I107</f>
        <v/>
      </c>
      <c r="J109" s="24">
        <f>J108+J107</f>
        <v/>
      </c>
      <c r="K109" s="24">
        <f>K108+K107</f>
        <v/>
      </c>
    </row>
    <row r="111">
      <c r="A111" s="2" t="inlineStr">
        <is>
          <t>Free cash flow (= CFO − Capex)</t>
        </is>
      </c>
      <c r="B111" s="12">
        <f>IFERROR(B93+B96,B93)</f>
        <v/>
      </c>
      <c r="C111" s="12">
        <f>IFERROR(C93+C96,C93)</f>
        <v/>
      </c>
      <c r="D111" s="12">
        <f>IFERROR(D93+D96,D93)</f>
        <v/>
      </c>
      <c r="E111" s="12">
        <f>IFERROR(E93+E96,E93)</f>
        <v/>
      </c>
      <c r="F111" s="12">
        <f>IFERROR(F93+F96,F93)</f>
        <v/>
      </c>
      <c r="G111" s="12">
        <f>IFERROR(G93+G96,G93)</f>
        <v/>
      </c>
      <c r="H111" s="33">
        <f>IFERROR(H93+H96,H93)</f>
        <v/>
      </c>
      <c r="I111" s="33">
        <f>IFERROR(I93+I96,I93)</f>
        <v/>
      </c>
      <c r="J111" s="33">
        <f>IFERROR(J93+J96,J93)</f>
        <v/>
      </c>
      <c r="K111" s="33">
        <f>IFERROR(K93+K96,K93)</f>
        <v/>
      </c>
      <c r="M111" s="10">
        <f>IFERROR(IF(OR(B111&lt;=0,F111&lt;=0),"N/M",(F111/B111)^(1/4)-1), "N/M")</f>
        <v/>
      </c>
      <c r="N111" s="10">
        <f>IFERROR(IF(OR(G111&lt;=0,K111&lt;=0),"N/M",(K111/G111)^(1/4)-1), "N/M")</f>
        <v/>
      </c>
    </row>
    <row r="112">
      <c r="A112" t="inlineStr">
        <is>
          <t>SBC (memo)</t>
        </is>
      </c>
      <c r="B112" s="20" t="n">
        <v>1004.9</v>
      </c>
      <c r="C112" s="20" t="n">
        <v>1101</v>
      </c>
      <c r="D112" s="20" t="n">
        <v>1295</v>
      </c>
      <c r="E112" s="20" t="n">
        <v>1416</v>
      </c>
      <c r="F112" s="20" t="n">
        <v>1519</v>
      </c>
      <c r="G112" s="20" t="n">
        <v>1626</v>
      </c>
      <c r="H112" s="38">
        <f>H29*Assumptions!C37</f>
        <v/>
      </c>
      <c r="I112" s="38">
        <f>I29*Assumptions!D37</f>
        <v/>
      </c>
      <c r="J112" s="38">
        <f>J29*Assumptions!E37</f>
        <v/>
      </c>
      <c r="K112" s="38">
        <f>K29*Assumptions!F37</f>
        <v/>
      </c>
      <c r="M112" s="10">
        <f>IFERROR(IF(OR(B112&lt;=0,F112&lt;=0),"N/M",(F112/B112)^(1/4)-1), "N/M")</f>
        <v/>
      </c>
      <c r="N112" s="10">
        <f>IFERROR(IF(OR(G112&lt;=0,K112&lt;=0),"N/M",(K112/G112)^(1/4)-1), "N/M")</f>
        <v/>
      </c>
    </row>
    <row r="113">
      <c r="A113" s="2" t="inlineStr">
        <is>
          <t>FCF − SBC</t>
        </is>
      </c>
      <c r="B113" s="24">
        <f>B111-B112</f>
        <v/>
      </c>
      <c r="C113" s="24">
        <f>C111-C112</f>
        <v/>
      </c>
      <c r="D113" s="24">
        <f>D111-D112</f>
        <v/>
      </c>
      <c r="E113" s="24">
        <f>E111-E112</f>
        <v/>
      </c>
      <c r="F113" s="24">
        <f>F111-F112</f>
        <v/>
      </c>
      <c r="G113" s="24">
        <f>G111-G112</f>
        <v/>
      </c>
      <c r="H113" s="38">
        <f>H111-H112</f>
        <v/>
      </c>
      <c r="I113" s="38">
        <f>I111-I112</f>
        <v/>
      </c>
      <c r="J113" s="38">
        <f>J111-J112</f>
        <v/>
      </c>
      <c r="K113" s="38">
        <f>K111-K112</f>
        <v/>
      </c>
      <c r="M113" s="10">
        <f>IFERROR(IF(OR(B113&lt;=0,F113&lt;=0),"N/M",(F113/B113)^(1/4)-1), "N/M")</f>
        <v/>
      </c>
      <c r="N113" s="10">
        <f>IFERROR(IF(OR(G113&lt;=0,K113&lt;=0),"N/M",(K113/G113)^(1/4)-1), "N/M")</f>
        <v/>
      </c>
    </row>
    <row r="115">
      <c r="A115" s="36" t="inlineStr">
        <is>
          <t>CAPITAL RETURN</t>
        </is>
      </c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</row>
    <row r="116">
      <c r="A116" s="2" t="inlineStr">
        <is>
          <t>Dividends paid total ($M)</t>
        </is>
      </c>
      <c r="H116" s="24">
        <f>-H103</f>
        <v/>
      </c>
      <c r="I116" s="24">
        <f>-I103</f>
        <v/>
      </c>
      <c r="J116" s="24">
        <f>-J103</f>
        <v/>
      </c>
      <c r="K116" s="24">
        <f>-K103</f>
        <v/>
      </c>
    </row>
    <row r="117">
      <c r="A117" s="2" t="inlineStr">
        <is>
          <t>Dividends paid per share ($/sh)</t>
        </is>
      </c>
      <c r="H117" s="42">
        <f>IFERROR(H116/H122,0)</f>
        <v/>
      </c>
      <c r="I117" s="42">
        <f>IFERROR(I116/I122,0)</f>
        <v/>
      </c>
      <c r="J117" s="42">
        <f>IFERROR(J116/J122,0)</f>
        <v/>
      </c>
      <c r="K117" s="42">
        <f>IFERROR(K116/K122,0)</f>
        <v/>
      </c>
    </row>
    <row r="118">
      <c r="A118" s="2" t="inlineStr">
        <is>
          <t>Cumulative dividends per share ($/sh)</t>
        </is>
      </c>
      <c r="H118" s="42">
        <f>H117</f>
        <v/>
      </c>
      <c r="I118" s="42">
        <f>H118+I117</f>
        <v/>
      </c>
      <c r="J118" s="42">
        <f>I118+J117</f>
        <v/>
      </c>
      <c r="K118" s="42">
        <f>J118+K117</f>
        <v/>
      </c>
    </row>
    <row r="119">
      <c r="A119" t="inlineStr">
        <is>
          <t>Buybacks total ($M)</t>
        </is>
      </c>
      <c r="H119" s="38">
        <f>-H102</f>
        <v/>
      </c>
      <c r="I119" s="38">
        <f>-I102</f>
        <v/>
      </c>
      <c r="J119" s="38">
        <f>-J102</f>
        <v/>
      </c>
      <c r="K119" s="38">
        <f>-K102</f>
        <v/>
      </c>
    </row>
    <row r="121">
      <c r="A121" s="3" t="inlineStr">
        <is>
          <t>Per-share</t>
        </is>
      </c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</row>
    <row r="122">
      <c r="A122" t="inlineStr">
        <is>
          <t>Diluted shares (M)</t>
        </is>
      </c>
      <c r="B122" s="11" t="n">
        <v>237</v>
      </c>
      <c r="C122" s="11" t="n">
        <v>254</v>
      </c>
      <c r="D122" s="11" t="n">
        <v>254.8</v>
      </c>
      <c r="E122" s="11" t="n">
        <v>265.3</v>
      </c>
      <c r="F122" s="11" t="n">
        <v>269.2</v>
      </c>
      <c r="G122" s="11" t="n">
        <v>268.1</v>
      </c>
      <c r="H122" s="31">
        <f>G122*(1-Assumptions!C45)</f>
        <v/>
      </c>
      <c r="I122" s="31">
        <f>H122*(1-Assumptions!D45)</f>
        <v/>
      </c>
      <c r="J122" s="31">
        <f>I122*(1-Assumptions!E45)</f>
        <v/>
      </c>
      <c r="K122" s="31">
        <f>J122*(1-Assumptions!F45)</f>
        <v/>
      </c>
      <c r="M122" s="10">
        <f>IFERROR(IF(OR(B122&lt;=0,F122&lt;=0),"N/M",(F122/B122)^(1/4)-1), "N/M")</f>
        <v/>
      </c>
      <c r="N122" s="10">
        <f>IFERROR(IF(OR(G122&lt;=0,K122&lt;=0),"N/M",(K122/G122)^(1/4)-1), "N/M")</f>
        <v/>
      </c>
    </row>
    <row r="123">
      <c r="A123" t="inlineStr">
        <is>
          <t>FCF / share</t>
        </is>
      </c>
      <c r="B123" s="6">
        <f>IFERROR(B111/B122,"")</f>
        <v/>
      </c>
      <c r="C123" s="6">
        <f>IFERROR(C111/C122,"")</f>
        <v/>
      </c>
      <c r="D123" s="6">
        <f>IFERROR(D111/D122,"")</f>
        <v/>
      </c>
      <c r="E123" s="6">
        <f>IFERROR(E111/E122,"")</f>
        <v/>
      </c>
      <c r="F123" s="6">
        <f>IFERROR(F111/F122,"")</f>
        <v/>
      </c>
      <c r="G123" s="6">
        <f>IFERROR(G111/G122,"")</f>
        <v/>
      </c>
      <c r="H123" s="32">
        <f>IFERROR(H111/H122,"")</f>
        <v/>
      </c>
      <c r="I123" s="32">
        <f>IFERROR(I111/I122,"")</f>
        <v/>
      </c>
      <c r="J123" s="32">
        <f>IFERROR(J111/J122,"")</f>
        <v/>
      </c>
      <c r="K123" s="32">
        <f>IFERROR(K111/K122,"")</f>
        <v/>
      </c>
      <c r="M123" s="10">
        <f>IFERROR(IF(OR(B123&lt;=0,F123&lt;=0),"N/M",(F123/B123)^(1/4)-1), "N/M")</f>
        <v/>
      </c>
      <c r="N123" s="10">
        <f>IFERROR(IF(OR(G123&lt;=0,K123&lt;=0),"N/M",(K123/G123)^(1/4)-1), "N/M")</f>
        <v/>
      </c>
    </row>
    <row r="124">
      <c r="A124" t="inlineStr">
        <is>
          <t>12-mo backlog ($M)</t>
        </is>
      </c>
      <c r="E124" s="13" t="n">
        <v>6602</v>
      </c>
      <c r="F124" s="13" t="n">
        <v>7631</v>
      </c>
      <c r="G124" s="13" t="n">
        <v>8833</v>
      </c>
      <c r="H124" s="33">
        <f>G124*(1+Assumptions!C17)</f>
        <v/>
      </c>
      <c r="I124" s="33">
        <f>H124*(1+Assumptions!D17)</f>
        <v/>
      </c>
      <c r="J124" s="33">
        <f>I124*(1+Assumptions!E17)</f>
        <v/>
      </c>
      <c r="K124" s="33">
        <f>J124*(1+Assumptions!F17)</f>
        <v/>
      </c>
      <c r="M124" s="10">
        <f>IFERROR(IF(OR(B124&lt;=0,F124&lt;=0),"N/M",(F124/B124)^(1/4)-1), "N/M")</f>
        <v/>
      </c>
      <c r="N124" s="10">
        <f>IFERROR(IF(OR(G124&lt;=0,K124&lt;=0),"N/M",(K124/G124)^(1/4)-1), "N/M")</f>
        <v/>
      </c>
    </row>
    <row r="126">
      <c r="A126" s="3" t="inlineStr">
        <is>
          <t>Valuation (terminal = FY30)</t>
        </is>
      </c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</row>
    <row r="127">
      <c r="A127" s="2" t="inlineStr">
        <is>
          <t>Exit ARR multiple (× FY30 backlog)</t>
        </is>
      </c>
      <c r="K127" s="43">
        <f>Assumptions!C49</f>
        <v/>
      </c>
      <c r="L127" s="44" t="inlineStr">
        <is>
          <t>source: Assumptions!C49</t>
        </is>
      </c>
    </row>
    <row r="128">
      <c r="A128" s="2" t="inlineStr">
        <is>
          <t>Exit FCF multiple (× FY30 FCF)</t>
        </is>
      </c>
      <c r="K128" s="45">
        <f>Assumptions!C52</f>
        <v/>
      </c>
      <c r="L128" s="44" t="inlineStr">
        <is>
          <t>source: Assumptions!C52</t>
        </is>
      </c>
    </row>
    <row r="129">
      <c r="A129" s="2" t="inlineStr">
        <is>
          <t>Target ($/sh, ARR-lens)</t>
        </is>
      </c>
      <c r="J129" s="34">
        <f>(Assumptions!C49*J124+Assumptions!B7*1000)/J122</f>
        <v/>
      </c>
      <c r="K129" s="34">
        <f>(Assumptions!C49*K124+Assumptions!B7*1000)/K122</f>
        <v/>
      </c>
    </row>
    <row r="130">
      <c r="A130" s="2" t="inlineStr">
        <is>
          <t>Target ($/sh, FCF-lens)</t>
        </is>
      </c>
      <c r="J130" s="34">
        <f>(Assumptions!C52*J111+Assumptions!B7*1000)/J122</f>
        <v/>
      </c>
      <c r="K130" s="34">
        <f>(Assumptions!C52*K111+Assumptions!B7*1000)/K122</f>
        <v/>
      </c>
    </row>
    <row r="131">
      <c r="A131" s="2" t="inlineStr">
        <is>
          <t>Target (blended) — used as terminal $/sh in TSR</t>
        </is>
      </c>
      <c r="J131" s="46">
        <f>AVERAGE(J129,J130)</f>
        <v/>
      </c>
      <c r="K131" s="46">
        <f>AVERAGE(K129,K130)</f>
        <v/>
      </c>
    </row>
    <row r="133">
      <c r="A133" s="36" t="inlineStr">
        <is>
          <t>TOTAL SHAREHOLDER RETURN</t>
        </is>
      </c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</row>
    <row r="134">
      <c r="A134" t="inlineStr">
        <is>
          <t>Entry price source:</t>
        </is>
      </c>
      <c r="B134" s="6">
        <f>Assumptions!B4</f>
        <v/>
      </c>
      <c r="C134" s="44" t="inlineStr">
        <is>
          <t>Assumptions!B4 (anchor inputs)</t>
        </is>
      </c>
    </row>
    <row r="135">
      <c r="A135" s="2" t="inlineStr">
        <is>
          <t>Metric</t>
        </is>
      </c>
      <c r="J135" s="17" t="inlineStr">
        <is>
          <t>3-yr (FY29)</t>
        </is>
      </c>
      <c r="K135" s="17" t="inlineStr">
        <is>
          <t>4-yr (FY30)</t>
        </is>
      </c>
    </row>
    <row r="136">
      <c r="A136" t="inlineStr">
        <is>
          <t>Entry price ($/sh)</t>
        </is>
      </c>
      <c r="J136" s="6">
        <f>Assumptions!B4</f>
        <v/>
      </c>
      <c r="K136" s="6">
        <f>Assumptions!B4</f>
        <v/>
      </c>
      <c r="L136" s="44" t="inlineStr">
        <is>
          <t>Assumptions!B4</t>
        </is>
      </c>
    </row>
    <row r="137">
      <c r="A137" s="2" t="inlineStr">
        <is>
          <t>Terminal price ($/sh)</t>
        </is>
      </c>
      <c r="J137" s="6">
        <f>J131</f>
        <v/>
      </c>
      <c r="K137" s="6">
        <f>K131</f>
        <v/>
      </c>
      <c r="L137" s="44" t="inlineStr">
        <is>
          <t>J/K of Target (blended) row 131</t>
        </is>
      </c>
    </row>
    <row r="138">
      <c r="A138" t="inlineStr">
        <is>
          <t>Price Δ ($/sh)</t>
        </is>
      </c>
      <c r="J138" s="7">
        <f>J137-J136</f>
        <v/>
      </c>
      <c r="K138" s="7">
        <f>K137-K136</f>
        <v/>
      </c>
    </row>
    <row r="139">
      <c r="A139" t="inlineStr">
        <is>
          <t>Cumulative dividends ($/sh)</t>
        </is>
      </c>
      <c r="J139" s="6">
        <f>J118</f>
        <v/>
      </c>
      <c r="K139" s="6">
        <f>K118</f>
        <v/>
      </c>
      <c r="L139" s="44" t="inlineStr">
        <is>
          <t>From Capital Return cumulative dividends row</t>
        </is>
      </c>
    </row>
    <row r="140">
      <c r="A140" t="inlineStr">
        <is>
          <t>Cumulative buyback dollars ($M)</t>
        </is>
      </c>
      <c r="J140" s="8">
        <f>SUM(H119:J119)</f>
        <v/>
      </c>
      <c r="K140" s="8">
        <f>SUM(H119:K119)</f>
        <v/>
      </c>
      <c r="L140" s="44" t="inlineStr">
        <is>
          <t>SUM of Buybacks total row (119)</t>
        </is>
      </c>
    </row>
    <row r="141">
      <c r="A141" t="inlineStr">
        <is>
          <t>Implied buyback value / surviving share ($/sh)</t>
        </is>
      </c>
      <c r="J141" s="6">
        <f>J140/J122</f>
        <v/>
      </c>
      <c r="K141" s="6">
        <f>K140/K122</f>
        <v/>
      </c>
      <c r="L141" s="44">
        <f> cum BB $M / diluted shares row 122</f>
        <v/>
      </c>
    </row>
    <row r="143">
      <c r="A143" s="3" t="inlineStr">
        <is>
          <t>TSR DECOMPOSITION (% of entry price)</t>
        </is>
      </c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</row>
    <row r="144">
      <c r="A144" t="inlineStr">
        <is>
          <t>Price appreciation contribution (%)</t>
        </is>
      </c>
      <c r="J144" s="39">
        <f>J138/J136</f>
        <v/>
      </c>
      <c r="K144" s="39">
        <f>K138/K136</f>
        <v/>
      </c>
    </row>
    <row r="145">
      <c r="A145" t="inlineStr">
        <is>
          <t>Dividend contribution (%)</t>
        </is>
      </c>
      <c r="J145" s="39">
        <f>J139/J136</f>
        <v/>
      </c>
      <c r="K145" s="39">
        <f>K139/K136</f>
        <v/>
      </c>
    </row>
    <row r="146">
      <c r="A146" t="inlineStr">
        <is>
          <t>Buyback accretion contribution (%)</t>
        </is>
      </c>
      <c r="J146" s="39">
        <f>J141/J136</f>
        <v/>
      </c>
      <c r="K146" s="39">
        <f>K141/K136</f>
        <v/>
      </c>
    </row>
    <row r="147">
      <c r="A147" s="2" t="inlineStr">
        <is>
          <t>Total TSR % (= sum of 3 components)</t>
        </is>
      </c>
      <c r="J147" s="47">
        <f>J144+J145+J146</f>
        <v/>
      </c>
      <c r="K147" s="47">
        <f>K144+K145+K146</f>
        <v/>
      </c>
    </row>
    <row r="148">
      <c r="A148" s="2" t="inlineStr">
        <is>
          <t>IRR (annualized, %)</t>
        </is>
      </c>
      <c r="J148" s="9">
        <f>(1+J147)^(1/3)-1</f>
        <v/>
      </c>
      <c r="K148" s="9">
        <f>(1+K147)^(1/4)-1</f>
        <v/>
      </c>
    </row>
    <row r="149">
      <c r="A149" s="44" t="inlineStr">
        <is>
          <t>Sanity: components sum (should match Total TSR)</t>
        </is>
      </c>
      <c r="J149" s="39">
        <f>J144+J145+J146</f>
        <v/>
      </c>
      <c r="K149" s="39">
        <f>K144+K145+K146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8" t="n">
        <v>708.15</v>
      </c>
      <c r="D4" s="10">
        <f>C4/129.34-1</f>
        <v/>
      </c>
      <c r="E4" s="10">
        <f>(C4/129.34)^(1/4)-1</f>
        <v/>
      </c>
      <c r="F4" s="8">
        <f>B4*C4</f>
        <v/>
      </c>
    </row>
    <row r="5">
      <c r="A5" t="inlineStr">
        <is>
          <t>Run For Cash</t>
        </is>
      </c>
      <c r="B5" s="5">
        <f>Assumptions!C54</f>
        <v/>
      </c>
      <c r="C5" s="8" t="n">
        <v>124.93</v>
      </c>
      <c r="D5" s="10">
        <f>C5/129.34-1</f>
        <v/>
      </c>
      <c r="E5" s="10">
        <f>(C5/129.34)^(1/4)-1</f>
        <v/>
      </c>
      <c r="F5" s="8">
        <f>B5*C5</f>
        <v/>
      </c>
    </row>
    <row r="6">
      <c r="A6" t="inlineStr">
        <is>
          <t>Bear</t>
        </is>
      </c>
      <c r="B6" s="5">
        <f>Assumptions!C55</f>
        <v/>
      </c>
      <c r="C6" s="8" t="n">
        <v>69.15000000000001</v>
      </c>
      <c r="D6" s="10">
        <f>C6/129.34-1</f>
        <v/>
      </c>
      <c r="E6" s="10">
        <f>(C6/129.34)^(1/4)-1</f>
        <v/>
      </c>
      <c r="F6" s="8">
        <f>B6*C6</f>
        <v/>
      </c>
    </row>
    <row r="8">
      <c r="A8" s="2" t="inlineStr">
        <is>
          <t>Probability-weighted</t>
        </is>
      </c>
      <c r="C8" s="46">
        <f>SUM(F4:F6)</f>
        <v/>
      </c>
      <c r="D8" s="9">
        <f>C8/129.34-1</f>
        <v/>
      </c>
      <c r="E8" s="9">
        <f>(C8/129.34)^(1/4)-1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4" customWidth="1" min="8" max="8"/>
    <col width="22" customWidth="1" min="9" max="9"/>
    <col width="10" customWidth="1" min="10" max="10"/>
    <col width="9" customWidth="1" min="11" max="11"/>
    <col width="14" customWidth="1" min="12" max="12"/>
    <col width="10" customWidth="1" min="13" max="13"/>
    <col width="18" customWidth="1" min="14" max="14"/>
    <col width="10" customWidth="1" min="15" max="15"/>
    <col width="14" customWidth="1" min="16" max="16"/>
    <col width="14" customWidth="1" min="17" max="17"/>
  </cols>
  <sheetData>
    <row r="1">
      <c r="A1" s="1" t="inlineStr">
        <is>
          <t>Total Shareholder Return decomposition</t>
        </is>
      </c>
    </row>
    <row r="2">
      <c r="A2" t="inlineStr">
        <is>
          <t>Entry price $129.34.  TSR % = (terminal + cum div) / entry − 1.  Buyback retirement value $/sh = cum buyback $$ / horizon shares (how much terminal equity belongs to surviving shareholders by virtue of share retirement).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Entry $/sh</t>
        </is>
      </c>
      <c r="E4" s="4" t="inlineStr">
        <is>
          <t>Terminal $/sh</t>
        </is>
      </c>
      <c r="F4" s="4" t="inlineStr">
        <is>
          <t>Price Δ $/sh</t>
        </is>
      </c>
      <c r="G4" s="4" t="inlineStr">
        <is>
          <t>Cum div $/sh</t>
        </is>
      </c>
      <c r="H4" s="4" t="inlineStr">
        <is>
          <t>Cum buyback $$M</t>
        </is>
      </c>
      <c r="I4" s="4" t="inlineStr">
        <is>
          <t>Implied BB $/surviving sh</t>
        </is>
      </c>
      <c r="J4" s="4" t="inlineStr">
        <is>
          <t>Px appr %</t>
        </is>
      </c>
      <c r="K4" s="4" t="inlineStr">
        <is>
          <t>Div %</t>
        </is>
      </c>
      <c r="L4" s="4" t="inlineStr">
        <is>
          <t>BB accretion %</t>
        </is>
      </c>
      <c r="M4" s="4" t="inlineStr">
        <is>
          <t>TSR %</t>
        </is>
      </c>
      <c r="N4" s="4" t="inlineStr">
        <is>
          <t>Sum check (Px%+Div%)</t>
        </is>
      </c>
      <c r="O4" s="4" t="inlineStr">
        <is>
          <t>IRR %</t>
        </is>
      </c>
      <c r="P4" s="4" t="inlineStr">
        <is>
          <t>Entry shares (M)</t>
        </is>
      </c>
      <c r="Q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129.34</v>
      </c>
      <c r="E5" s="6" t="n">
        <v>577.92</v>
      </c>
      <c r="F5" s="7">
        <f>E5-D5</f>
        <v/>
      </c>
      <c r="G5" s="6" t="n">
        <v>0</v>
      </c>
      <c r="H5" s="8" t="n">
        <v>5652</v>
      </c>
      <c r="I5" s="6" t="n">
        <v>22.52</v>
      </c>
      <c r="J5" s="10">
        <f>F5/D5</f>
        <v/>
      </c>
      <c r="K5" s="10">
        <f>G5/D5</f>
        <v/>
      </c>
      <c r="L5" s="10" t="n">
        <v>0.068</v>
      </c>
      <c r="M5" s="9">
        <f>J5+K5</f>
        <v/>
      </c>
      <c r="N5" s="10">
        <f>J5+K5</f>
        <v/>
      </c>
      <c r="O5" s="10" t="n">
        <v>0.647</v>
      </c>
      <c r="P5" s="11" t="n">
        <v>268</v>
      </c>
      <c r="Q5" s="11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129.34</v>
      </c>
      <c r="E6" s="6" t="n">
        <v>708.15</v>
      </c>
      <c r="F6" s="7">
        <f>E6-D6</f>
        <v/>
      </c>
      <c r="G6" s="6" t="n">
        <v>0</v>
      </c>
      <c r="H6" s="8" t="n">
        <v>10044</v>
      </c>
      <c r="I6" s="6" t="n">
        <v>41.05</v>
      </c>
      <c r="J6" s="10">
        <f>F6/D6</f>
        <v/>
      </c>
      <c r="K6" s="10">
        <f>G6/D6</f>
        <v/>
      </c>
      <c r="L6" s="10" t="n">
        <v>0.095</v>
      </c>
      <c r="M6" s="9">
        <f>J6+K6</f>
        <v/>
      </c>
      <c r="N6" s="10">
        <f>J6+K6</f>
        <v/>
      </c>
      <c r="O6" s="10" t="n">
        <v>0.53</v>
      </c>
      <c r="P6" s="11" t="n">
        <v>268</v>
      </c>
      <c r="Q6" s="11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129.34</v>
      </c>
      <c r="E7" s="6" t="n">
        <v>125.26</v>
      </c>
      <c r="F7" s="7">
        <f>E7-D7</f>
        <v/>
      </c>
      <c r="G7" s="6" t="n">
        <v>11.78</v>
      </c>
      <c r="H7" s="8" t="n">
        <v>6617</v>
      </c>
      <c r="I7" s="6" t="n">
        <v>30.4</v>
      </c>
      <c r="J7" s="10">
        <f>F7/D7</f>
        <v/>
      </c>
      <c r="K7" s="10">
        <f>G7/D7</f>
        <v/>
      </c>
      <c r="L7" s="10" t="n">
        <v>0.231</v>
      </c>
      <c r="M7" s="9">
        <f>J7+K7</f>
        <v/>
      </c>
      <c r="N7" s="10">
        <f>J7+K7</f>
        <v/>
      </c>
      <c r="O7" s="10" t="n">
        <v>0.019</v>
      </c>
      <c r="P7" s="11" t="n">
        <v>268</v>
      </c>
      <c r="Q7" s="11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129.34</v>
      </c>
      <c r="E8" s="6" t="n">
        <v>124.93</v>
      </c>
      <c r="F8" s="7">
        <f>E8-D8</f>
        <v/>
      </c>
      <c r="G8" s="6" t="n">
        <v>18.94</v>
      </c>
      <c r="H8" s="8" t="n">
        <v>9556</v>
      </c>
      <c r="I8" s="6" t="n">
        <v>48.76</v>
      </c>
      <c r="J8" s="10">
        <f>F8/D8</f>
        <v/>
      </c>
      <c r="K8" s="10">
        <f>G8/D8</f>
        <v/>
      </c>
      <c r="L8" s="10" t="n">
        <v>0.367</v>
      </c>
      <c r="M8" s="9">
        <f>J8+K8</f>
        <v/>
      </c>
      <c r="N8" s="10">
        <f>J8+K8</f>
        <v/>
      </c>
      <c r="O8" s="10" t="n">
        <v>0.027</v>
      </c>
      <c r="P8" s="11" t="n">
        <v>268</v>
      </c>
      <c r="Q8" s="11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129.34</v>
      </c>
      <c r="E9" s="6" t="n">
        <v>74.88</v>
      </c>
      <c r="F9" s="7">
        <f>E9-D9</f>
        <v/>
      </c>
      <c r="G9" s="6" t="n">
        <v>3.39</v>
      </c>
      <c r="H9" s="8" t="n">
        <v>2970</v>
      </c>
      <c r="I9" s="6" t="n">
        <v>12.27</v>
      </c>
      <c r="J9" s="10">
        <f>F9/D9</f>
        <v/>
      </c>
      <c r="K9" s="10">
        <f>G9/D9</f>
        <v/>
      </c>
      <c r="L9" s="10" t="n">
        <v>0.107</v>
      </c>
      <c r="M9" s="9">
        <f>J9+K9</f>
        <v/>
      </c>
      <c r="N9" s="10">
        <f>J9+K9</f>
        <v/>
      </c>
      <c r="O9" s="10" t="n">
        <v>-0.154</v>
      </c>
      <c r="P9" s="11" t="n">
        <v>268</v>
      </c>
      <c r="Q9" s="11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129.34</v>
      </c>
      <c r="E10" s="6" t="n">
        <v>69.15000000000001</v>
      </c>
      <c r="F10" s="7">
        <f>E10-D10</f>
        <v/>
      </c>
      <c r="G10" s="6" t="n">
        <v>5.48</v>
      </c>
      <c r="H10" s="8" t="n">
        <v>3841</v>
      </c>
      <c r="I10" s="6" t="n">
        <v>16.53</v>
      </c>
      <c r="J10" s="10">
        <f>F10/D10</f>
        <v/>
      </c>
      <c r="K10" s="10">
        <f>G10/D10</f>
        <v/>
      </c>
      <c r="L10" s="10" t="n">
        <v>0.153</v>
      </c>
      <c r="M10" s="9">
        <f>J10+K10</f>
        <v/>
      </c>
      <c r="N10" s="10">
        <f>J10+K10</f>
        <v/>
      </c>
      <c r="O10" s="10" t="n">
        <v>-0.128</v>
      </c>
      <c r="P10" s="11" t="n">
        <v>268</v>
      </c>
      <c r="Q10" s="11" t="n">
        <v>232.4</v>
      </c>
    </row>
    <row r="12">
      <c r="A12" s="2" t="inlineStr">
        <is>
          <t>Probability-weighted FY29 TSR</t>
        </is>
      </c>
      <c r="M12" s="9" t="n">
        <v>1.116</v>
      </c>
    </row>
    <row r="13">
      <c r="A13" s="2" t="inlineStr">
        <is>
          <t>Probability-weighted FY30 TSR</t>
        </is>
      </c>
      <c r="M13" s="9" t="n">
        <v>1.479</v>
      </c>
    </row>
    <row r="15">
      <c r="A15" s="2" t="inlineStr">
        <is>
          <t>Reconciliation:</t>
        </is>
      </c>
    </row>
    <row r="16">
      <c r="A16" t="inlineStr">
        <is>
          <t>Price Δ % + Cum div % should equal TSR %. Buyback accretion % is attribution-only (already inside terminal price). Implied BB $/surviving sh = cum buyback $$ / horizon shares.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10" t="n">
        <v>0</v>
      </c>
      <c r="C6" s="10" t="n">
        <v>0.1466</v>
      </c>
      <c r="D6" s="10" t="n">
        <v>0.0733</v>
      </c>
      <c r="E6" s="10" t="n">
        <v>0.044</v>
      </c>
      <c r="F6" s="10" t="n">
        <v>0.0293</v>
      </c>
      <c r="G6" s="9" t="n">
        <v>0</v>
      </c>
      <c r="H6" s="13" t="n">
        <v>10128</v>
      </c>
      <c r="I6" s="13" t="n">
        <v>0</v>
      </c>
      <c r="J6" s="13" t="n">
        <v>647</v>
      </c>
    </row>
    <row r="7">
      <c r="A7" t="inlineStr">
        <is>
          <t>FY2028</t>
        </is>
      </c>
      <c r="B7" s="10" t="n">
        <v>0.08</v>
      </c>
      <c r="C7" s="10" t="n">
        <v>0.1333</v>
      </c>
      <c r="D7" s="10" t="n">
        <v>0.0266</v>
      </c>
      <c r="E7" s="10" t="n">
        <v>0.016</v>
      </c>
      <c r="F7" s="10" t="n">
        <v>0.0107</v>
      </c>
      <c r="G7" s="9" t="n">
        <v>0.08</v>
      </c>
      <c r="H7" s="13" t="n">
        <v>11477</v>
      </c>
      <c r="I7" s="13" t="n">
        <v>810</v>
      </c>
      <c r="J7" s="13" t="n">
        <v>270</v>
      </c>
    </row>
    <row r="8">
      <c r="A8" t="inlineStr">
        <is>
          <t>FY2029</t>
        </is>
      </c>
      <c r="B8" s="10" t="n">
        <v>0.18</v>
      </c>
      <c r="C8" s="10" t="n">
        <v>0.1266</v>
      </c>
      <c r="D8" s="10" t="n">
        <v>0.0133</v>
      </c>
      <c r="E8" s="10" t="n">
        <v>0.008</v>
      </c>
      <c r="F8" s="10" t="n">
        <v>0.0053</v>
      </c>
      <c r="G8" s="9" t="n">
        <v>0.1</v>
      </c>
      <c r="H8" s="13" t="n">
        <v>12930</v>
      </c>
      <c r="I8" s="13" t="n">
        <v>1148</v>
      </c>
      <c r="J8" s="13" t="n">
        <v>153</v>
      </c>
    </row>
    <row r="9">
      <c r="A9" t="inlineStr">
        <is>
          <t>FY2030</t>
        </is>
      </c>
      <c r="B9" s="10" t="n">
        <v>0.3</v>
      </c>
      <c r="C9" s="10" t="n">
        <v>0.1133</v>
      </c>
      <c r="D9" s="10" t="n">
        <v>-0.0034</v>
      </c>
      <c r="E9" s="10" t="n">
        <v>-0.002</v>
      </c>
      <c r="F9" s="10" t="n">
        <v>-0.0013</v>
      </c>
      <c r="G9" s="9" t="n">
        <v>0.12</v>
      </c>
      <c r="H9" s="13" t="n">
        <v>14395</v>
      </c>
      <c r="I9" s="13" t="n">
        <v>1552</v>
      </c>
      <c r="J9" s="13" t="n">
        <v>-43</v>
      </c>
    </row>
    <row r="11">
      <c r="A11" s="3" t="inlineStr">
        <is>
          <t>Runs For Cash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10" t="n">
        <v>0</v>
      </c>
      <c r="C13" s="10" t="n">
        <v>0.0533</v>
      </c>
      <c r="D13" s="10" t="n">
        <v>0.0267</v>
      </c>
      <c r="E13" s="10" t="n">
        <v>0.016</v>
      </c>
      <c r="F13" s="10" t="n">
        <v>0.0107</v>
      </c>
      <c r="G13" s="9" t="n">
        <v>0</v>
      </c>
      <c r="H13" s="13" t="n">
        <v>9304</v>
      </c>
      <c r="I13" s="13" t="n">
        <v>0</v>
      </c>
      <c r="J13" s="13" t="n">
        <v>236</v>
      </c>
    </row>
    <row r="14">
      <c r="A14" t="inlineStr">
        <is>
          <t>FY2028</t>
        </is>
      </c>
      <c r="B14" s="10" t="n">
        <v>0.05</v>
      </c>
      <c r="C14" s="10" t="n">
        <v>-0.0333</v>
      </c>
      <c r="D14" s="10" t="n">
        <v>-0.0417</v>
      </c>
      <c r="E14" s="10" t="n">
        <v>-0.025</v>
      </c>
      <c r="F14" s="10" t="n">
        <v>-0.0167</v>
      </c>
      <c r="G14" s="9" t="n">
        <v>0.05</v>
      </c>
      <c r="H14" s="13" t="n">
        <v>8994</v>
      </c>
      <c r="I14" s="13" t="n">
        <v>465</v>
      </c>
      <c r="J14" s="13" t="n">
        <v>-388</v>
      </c>
    </row>
    <row r="15">
      <c r="A15" t="inlineStr">
        <is>
          <t>FY2029</t>
        </is>
      </c>
      <c r="B15" s="10" t="n">
        <v>0.12</v>
      </c>
      <c r="C15" s="10" t="n">
        <v>-0.09329999999999999</v>
      </c>
      <c r="D15" s="10" t="n">
        <v>-0.08169999999999999</v>
      </c>
      <c r="E15" s="10" t="n">
        <v>-0.049</v>
      </c>
      <c r="F15" s="10" t="n">
        <v>-0.0327</v>
      </c>
      <c r="G15" s="9" t="n">
        <v>0.07000000000000001</v>
      </c>
      <c r="H15" s="13" t="n">
        <v>8155</v>
      </c>
      <c r="I15" s="13" t="n">
        <v>630</v>
      </c>
      <c r="J15" s="13" t="n">
        <v>-734</v>
      </c>
    </row>
    <row r="16">
      <c r="A16" t="inlineStr">
        <is>
          <t>FY2030</t>
        </is>
      </c>
      <c r="B16" s="10" t="n">
        <v>0.2</v>
      </c>
      <c r="C16" s="10" t="n">
        <v>-0.1</v>
      </c>
      <c r="D16" s="10" t="n">
        <v>-0.09</v>
      </c>
      <c r="E16" s="10" t="n">
        <v>-0.05400000000000001</v>
      </c>
      <c r="F16" s="10" t="n">
        <v>-0.036</v>
      </c>
      <c r="G16" s="9" t="n">
        <v>0.08</v>
      </c>
      <c r="H16" s="13" t="n">
        <v>7340</v>
      </c>
      <c r="I16" s="13" t="n">
        <v>652</v>
      </c>
      <c r="J16" s="13" t="n">
        <v>-734</v>
      </c>
    </row>
    <row r="18">
      <c r="A18" s="3" t="inlineStr">
        <is>
          <t>What Goes Wrong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10" t="n">
        <v>0</v>
      </c>
      <c r="C20" s="10" t="n">
        <v>-0.0467</v>
      </c>
      <c r="D20" s="10" t="n">
        <v>-0.0233</v>
      </c>
      <c r="E20" s="10" t="n">
        <v>-0.014</v>
      </c>
      <c r="F20" s="10" t="n">
        <v>-0.009300000000000001</v>
      </c>
      <c r="G20" s="9" t="n">
        <v>0</v>
      </c>
      <c r="H20" s="13" t="n">
        <v>8421</v>
      </c>
      <c r="I20" s="13" t="n">
        <v>0</v>
      </c>
      <c r="J20" s="13" t="n">
        <v>-206</v>
      </c>
    </row>
    <row r="21">
      <c r="A21" t="inlineStr">
        <is>
          <t>FY2028</t>
        </is>
      </c>
      <c r="B21" s="10" t="n">
        <v>0.03</v>
      </c>
      <c r="C21" s="10" t="n">
        <v>-0.09669999999999999</v>
      </c>
      <c r="D21" s="10" t="n">
        <v>-0.0633</v>
      </c>
      <c r="E21" s="10" t="n">
        <v>-0.038</v>
      </c>
      <c r="F21" s="10" t="n">
        <v>-0.0253</v>
      </c>
      <c r="G21" s="9" t="n">
        <v>0.03</v>
      </c>
      <c r="H21" s="13" t="n">
        <v>7607</v>
      </c>
      <c r="I21" s="13" t="n">
        <v>253</v>
      </c>
      <c r="J21" s="13" t="n">
        <v>-533</v>
      </c>
    </row>
    <row r="22">
      <c r="A22" t="inlineStr">
        <is>
          <t>FY2029</t>
        </is>
      </c>
      <c r="B22" s="10" t="n">
        <v>0.08</v>
      </c>
      <c r="C22" s="10" t="n">
        <v>-0.1067</v>
      </c>
      <c r="D22" s="10" t="n">
        <v>-0.07829999999999999</v>
      </c>
      <c r="E22" s="10" t="n">
        <v>-0.047</v>
      </c>
      <c r="F22" s="10" t="n">
        <v>-0.0313</v>
      </c>
      <c r="G22" s="9" t="n">
        <v>0.05</v>
      </c>
      <c r="H22" s="13" t="n">
        <v>6796</v>
      </c>
      <c r="I22" s="13" t="n">
        <v>380</v>
      </c>
      <c r="J22" s="13" t="n">
        <v>-596</v>
      </c>
    </row>
    <row r="23">
      <c r="A23" t="inlineStr">
        <is>
          <t>FY2030</t>
        </is>
      </c>
      <c r="B23" s="10" t="n">
        <v>0.15</v>
      </c>
      <c r="C23" s="10" t="n">
        <v>-0.09669999999999999</v>
      </c>
      <c r="D23" s="10" t="n">
        <v>-0.0833</v>
      </c>
      <c r="E23" s="10" t="n">
        <v>-0.05</v>
      </c>
      <c r="F23" s="10" t="n">
        <v>-0.0333</v>
      </c>
      <c r="G23" s="9" t="n">
        <v>0.07000000000000001</v>
      </c>
      <c r="H23" s="13" t="n">
        <v>6139</v>
      </c>
      <c r="I23" s="13" t="n">
        <v>476</v>
      </c>
      <c r="J23" s="13" t="n">
        <v>-566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Sensitivity grids (price &amp; FCF/share)</t>
        </is>
      </c>
    </row>
    <row r="2">
      <c r="A2" t="inlineStr">
        <is>
          <t>Three grids stacked vertically. Pricing × Margin grid below shows FCF/share; the other two show FY30 price targets shaded by implied return.</t>
        </is>
      </c>
    </row>
    <row r="4">
      <c r="A4" s="48" t="inlineStr">
        <is>
          <t>SBC compression × exit multiple → FY30 share price</t>
        </is>
      </c>
      <c r="B4" s="21" t="n"/>
      <c r="C4" s="21" t="n"/>
      <c r="D4" s="21" t="n"/>
      <c r="E4" s="21" t="n"/>
      <c r="F4" s="21" t="n"/>
      <c r="G4" s="21" t="n"/>
    </row>
    <row r="5">
      <c r="A5" s="49" t="inlineStr">
        <is>
          <t>SBC % of revenue (FY30)  ↓  ×  FCF exit multiple  →</t>
        </is>
      </c>
    </row>
    <row r="6">
      <c r="A6" s="2" t="inlineStr">
        <is>
          <t>SBC % of revenue (FY30) ↓</t>
        </is>
      </c>
      <c r="B6" s="17" t="inlineStr">
        <is>
          <t>16×</t>
        </is>
      </c>
      <c r="C6" s="17" t="inlineStr">
        <is>
          <t>18×</t>
        </is>
      </c>
      <c r="D6" s="17" t="inlineStr">
        <is>
          <t>20×</t>
        </is>
      </c>
      <c r="E6" s="17" t="inlineStr">
        <is>
          <t>22×</t>
        </is>
      </c>
      <c r="F6" s="17" t="inlineStr">
        <is>
          <t>24×</t>
        </is>
      </c>
      <c r="G6" s="17" t="inlineStr">
        <is>
          <t>26×</t>
        </is>
      </c>
    </row>
    <row r="7">
      <c r="A7" s="3" t="inlineStr">
        <is>
          <t>+16%</t>
        </is>
      </c>
      <c r="B7" s="50" t="n">
        <v>240.44</v>
      </c>
      <c r="C7" s="50" t="n">
        <v>269.67</v>
      </c>
      <c r="D7" s="50" t="n">
        <v>298.9</v>
      </c>
      <c r="E7" s="51" t="n">
        <v>328.13</v>
      </c>
      <c r="F7" s="51" t="n">
        <v>357.36</v>
      </c>
      <c r="G7" s="51" t="n">
        <v>386.58</v>
      </c>
    </row>
    <row r="8">
      <c r="A8" s="3" t="inlineStr">
        <is>
          <t>+14%</t>
        </is>
      </c>
      <c r="B8" s="50" t="n">
        <v>262.72</v>
      </c>
      <c r="C8" s="50" t="n">
        <v>294.73</v>
      </c>
      <c r="D8" s="51" t="n">
        <v>326.74</v>
      </c>
      <c r="E8" s="51" t="n">
        <v>358.75</v>
      </c>
      <c r="F8" s="51" t="n">
        <v>390.76</v>
      </c>
      <c r="G8" s="51" t="n">
        <v>422.78</v>
      </c>
    </row>
    <row r="9">
      <c r="A9" s="3" t="inlineStr">
        <is>
          <t>+12%</t>
        </is>
      </c>
      <c r="B9" s="50" t="n">
        <v>284.99</v>
      </c>
      <c r="C9" s="50" t="n">
        <v>319.78</v>
      </c>
      <c r="D9" s="51" t="n">
        <v>354.58</v>
      </c>
      <c r="E9" s="51" t="n">
        <v>389.38</v>
      </c>
      <c r="F9" s="51" t="n">
        <v>424.17</v>
      </c>
      <c r="G9" s="51" t="n">
        <v>458.97</v>
      </c>
    </row>
    <row r="10">
      <c r="A10" s="3" t="inlineStr">
        <is>
          <t>+10%</t>
        </is>
      </c>
      <c r="B10" s="50" t="n">
        <v>307.26</v>
      </c>
      <c r="C10" s="51" t="n">
        <v>344.84</v>
      </c>
      <c r="D10" s="51" t="n">
        <v>382.42</v>
      </c>
      <c r="E10" s="51" t="n">
        <v>420</v>
      </c>
      <c r="F10" s="51" t="n">
        <v>457.58</v>
      </c>
      <c r="G10" s="51" t="n">
        <v>495.16</v>
      </c>
    </row>
    <row r="11">
      <c r="A11" s="3" t="inlineStr">
        <is>
          <t>+8%</t>
        </is>
      </c>
      <c r="B11" s="51" t="n">
        <v>329.53</v>
      </c>
      <c r="C11" s="51" t="n">
        <v>369.9</v>
      </c>
      <c r="D11" s="51" t="n">
        <v>410.26</v>
      </c>
      <c r="E11" s="51" t="n">
        <v>450.62</v>
      </c>
      <c r="F11" s="51" t="n">
        <v>490.99</v>
      </c>
      <c r="G11" s="51" t="n">
        <v>531.35</v>
      </c>
    </row>
    <row r="13">
      <c r="A13" s="48" t="inlineStr">
        <is>
          <t>Subscription growth × exit multiple → FY30 share price</t>
        </is>
      </c>
      <c r="B13" s="21" t="n"/>
      <c r="C13" s="21" t="n"/>
      <c r="D13" s="21" t="n"/>
      <c r="E13" s="21" t="n"/>
      <c r="F13" s="21" t="n"/>
      <c r="G13" s="21" t="n"/>
    </row>
    <row r="14">
      <c r="A14" s="49" t="inlineStr">
        <is>
          <t>4-yr subscription growth CAGR  ↓  ×  FCF exit multiple  →</t>
        </is>
      </c>
    </row>
    <row r="15">
      <c r="A15" s="2" t="inlineStr">
        <is>
          <t>4-yr subscription growth CAGR ↓</t>
        </is>
      </c>
      <c r="B15" s="17" t="inlineStr">
        <is>
          <t>10×</t>
        </is>
      </c>
      <c r="C15" s="17" t="inlineStr">
        <is>
          <t>14×</t>
        </is>
      </c>
      <c r="D15" s="17" t="inlineStr">
        <is>
          <t>18×</t>
        </is>
      </c>
      <c r="E15" s="17" t="inlineStr">
        <is>
          <t>22×</t>
        </is>
      </c>
      <c r="F15" s="17" t="inlineStr">
        <is>
          <t>26×</t>
        </is>
      </c>
      <c r="G15" s="17" t="inlineStr">
        <is>
          <t>30×</t>
        </is>
      </c>
    </row>
    <row r="16">
      <c r="A16" s="3" t="inlineStr">
        <is>
          <t>-5%</t>
        </is>
      </c>
      <c r="B16" s="52" t="n">
        <v>117.9</v>
      </c>
      <c r="C16" s="46" t="n">
        <v>162.41</v>
      </c>
      <c r="D16" s="50" t="n">
        <v>206.93</v>
      </c>
      <c r="E16" s="50" t="n">
        <v>251.44</v>
      </c>
      <c r="F16" s="50" t="n">
        <v>295.95</v>
      </c>
      <c r="G16" s="51" t="n">
        <v>340.46</v>
      </c>
    </row>
    <row r="17">
      <c r="A17" s="3" t="inlineStr">
        <is>
          <t>+0%</t>
        </is>
      </c>
      <c r="B17" s="46" t="n">
        <v>143.24</v>
      </c>
      <c r="C17" s="50" t="n">
        <v>197.89</v>
      </c>
      <c r="D17" s="50" t="n">
        <v>252.54</v>
      </c>
      <c r="E17" s="50" t="n">
        <v>307.19</v>
      </c>
      <c r="F17" s="51" t="n">
        <v>361.84</v>
      </c>
      <c r="G17" s="51" t="n">
        <v>416.49</v>
      </c>
    </row>
    <row r="18">
      <c r="A18" s="3" t="inlineStr">
        <is>
          <t>+5%</t>
        </is>
      </c>
      <c r="B18" s="46" t="n">
        <v>172.69</v>
      </c>
      <c r="C18" s="50" t="n">
        <v>239.12</v>
      </c>
      <c r="D18" s="50" t="n">
        <v>305.54</v>
      </c>
      <c r="E18" s="51" t="n">
        <v>371.97</v>
      </c>
      <c r="F18" s="51" t="n">
        <v>438.4</v>
      </c>
      <c r="G18" s="51" t="n">
        <v>504.82</v>
      </c>
    </row>
    <row r="19">
      <c r="A19" s="3" t="inlineStr">
        <is>
          <t>+10%</t>
        </is>
      </c>
      <c r="B19" s="50" t="n">
        <v>206.65</v>
      </c>
      <c r="C19" s="50" t="n">
        <v>286.66</v>
      </c>
      <c r="D19" s="51" t="n">
        <v>366.68</v>
      </c>
      <c r="E19" s="51" t="n">
        <v>446.69</v>
      </c>
      <c r="F19" s="51" t="n">
        <v>526.7</v>
      </c>
      <c r="G19" s="51" t="n">
        <v>606.72</v>
      </c>
    </row>
    <row r="20">
      <c r="A20" s="3" t="inlineStr">
        <is>
          <t>+15%</t>
        </is>
      </c>
      <c r="B20" s="50" t="n">
        <v>245.58</v>
      </c>
      <c r="C20" s="51" t="n">
        <v>341.16</v>
      </c>
      <c r="D20" s="51" t="n">
        <v>436.74</v>
      </c>
      <c r="E20" s="51" t="n">
        <v>532.33</v>
      </c>
      <c r="F20" s="51" t="n">
        <v>627.91</v>
      </c>
      <c r="G20" s="51" t="n">
        <v>723.49</v>
      </c>
    </row>
    <row r="21">
      <c r="A21" s="3" t="inlineStr">
        <is>
          <t>+20%</t>
        </is>
      </c>
      <c r="B21" s="50" t="n">
        <v>289.92</v>
      </c>
      <c r="C21" s="51" t="n">
        <v>403.25</v>
      </c>
      <c r="D21" s="51" t="n">
        <v>516.5700000000001</v>
      </c>
      <c r="E21" s="51" t="n">
        <v>629.89</v>
      </c>
      <c r="F21" s="51" t="n">
        <v>743.21</v>
      </c>
      <c r="G21" s="51" t="n">
        <v>856.53</v>
      </c>
    </row>
    <row r="23">
      <c r="A23" s="48" t="inlineStr">
        <is>
          <t>Pricing transition × FY30 FCF margin → FY30 FCF/share</t>
        </is>
      </c>
      <c r="B23" s="21" t="n"/>
      <c r="C23" s="21" t="n"/>
      <c r="D23" s="21" t="n"/>
      <c r="E23" s="21" t="n"/>
      <c r="F23" s="21" t="n"/>
      <c r="G23" s="21" t="n"/>
    </row>
    <row r="24">
      <c r="A24" s="49" t="inlineStr">
        <is>
          <t>Consumption % of subscription (FY30)  ↓  ×  FCF margin  →</t>
        </is>
      </c>
    </row>
    <row r="25">
      <c r="A25" s="2" t="inlineStr">
        <is>
          <t>Consumption % of subscription (FY30) ↓</t>
        </is>
      </c>
      <c r="B25" s="17" t="inlineStr">
        <is>
          <t>+25%</t>
        </is>
      </c>
      <c r="C25" s="17" t="inlineStr">
        <is>
          <t>+30%</t>
        </is>
      </c>
      <c r="D25" s="17" t="inlineStr">
        <is>
          <t>+33%</t>
        </is>
      </c>
      <c r="E25" s="17" t="inlineStr">
        <is>
          <t>+36%</t>
        </is>
      </c>
      <c r="F25" s="17" t="inlineStr">
        <is>
          <t>+39%</t>
        </is>
      </c>
      <c r="G25" s="17" t="inlineStr">
        <is>
          <t>+42%</t>
        </is>
      </c>
    </row>
    <row r="26">
      <c r="A26" s="3" t="inlineStr">
        <is>
          <t>+0%</t>
        </is>
      </c>
      <c r="B26" s="6" t="n">
        <v>17.02</v>
      </c>
      <c r="C26" s="6" t="n">
        <v>20.42</v>
      </c>
      <c r="D26" s="6" t="n">
        <v>22.46</v>
      </c>
      <c r="E26" s="6" t="n">
        <v>24.5</v>
      </c>
      <c r="F26" s="6" t="n">
        <v>26.55</v>
      </c>
      <c r="G26" s="6" t="n">
        <v>28.59</v>
      </c>
    </row>
    <row r="27">
      <c r="A27" s="3" t="inlineStr">
        <is>
          <t>+10%</t>
        </is>
      </c>
      <c r="B27" s="6" t="n">
        <v>18.65</v>
      </c>
      <c r="C27" s="6" t="n">
        <v>22.38</v>
      </c>
      <c r="D27" s="6" t="n">
        <v>24.62</v>
      </c>
      <c r="E27" s="6" t="n">
        <v>26.86</v>
      </c>
      <c r="F27" s="6" t="n">
        <v>29.1</v>
      </c>
      <c r="G27" s="6" t="n">
        <v>31.33</v>
      </c>
    </row>
    <row r="28">
      <c r="A28" s="3" t="inlineStr">
        <is>
          <t>+20%</t>
        </is>
      </c>
      <c r="B28" s="6" t="n">
        <v>20.29</v>
      </c>
      <c r="C28" s="6" t="n">
        <v>24.34</v>
      </c>
      <c r="D28" s="6" t="n">
        <v>26.78</v>
      </c>
      <c r="E28" s="6" t="n">
        <v>29.21</v>
      </c>
      <c r="F28" s="6" t="n">
        <v>31.65</v>
      </c>
      <c r="G28" s="6" t="n">
        <v>34.08</v>
      </c>
    </row>
    <row r="29">
      <c r="A29" s="3" t="inlineStr">
        <is>
          <t>+30%</t>
        </is>
      </c>
      <c r="B29" s="6" t="n">
        <v>21.92</v>
      </c>
      <c r="C29" s="6" t="n">
        <v>26.3</v>
      </c>
      <c r="D29" s="6" t="n">
        <v>28.93</v>
      </c>
      <c r="E29" s="6" t="n">
        <v>31.56</v>
      </c>
      <c r="F29" s="6" t="n">
        <v>34.19</v>
      </c>
      <c r="G29" s="6" t="n">
        <v>36.82</v>
      </c>
    </row>
    <row r="30">
      <c r="A30" s="3" t="inlineStr">
        <is>
          <t>+40%</t>
        </is>
      </c>
      <c r="B30" s="6" t="n">
        <v>23.55</v>
      </c>
      <c r="C30" s="6" t="n">
        <v>28.26</v>
      </c>
      <c r="D30" s="6" t="n">
        <v>31.09</v>
      </c>
      <c r="E30" s="6" t="n">
        <v>33.92</v>
      </c>
      <c r="F30" s="6" t="n">
        <v>36.74</v>
      </c>
      <c r="G30" s="6" t="n">
        <v>39.57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21" t="n"/>
      <c r="C5" s="21" t="n"/>
      <c r="D5" s="21" t="n"/>
      <c r="E5" s="21" t="n"/>
      <c r="F5" s="21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22" t="inlineStr">
        <is>
          <t>Booked growth %</t>
        </is>
      </c>
      <c r="B7" s="10" t="n">
        <v>1</v>
      </c>
      <c r="C7" s="10" t="n">
        <v>0.8</v>
      </c>
      <c r="D7" s="10" t="n">
        <v>0.6</v>
      </c>
      <c r="E7" s="10" t="n">
        <v>0.4</v>
      </c>
    </row>
    <row r="8">
      <c r="A8" s="22" t="inlineStr">
        <is>
          <t>Deferred fraction %</t>
        </is>
      </c>
      <c r="B8" s="10" t="n">
        <v>0.3</v>
      </c>
      <c r="C8" s="10" t="n">
        <v>0.25</v>
      </c>
      <c r="D8" s="10" t="n">
        <v>0.2</v>
      </c>
      <c r="E8" s="10" t="n">
        <v>0.15</v>
      </c>
    </row>
    <row r="9">
      <c r="A9" s="22" t="inlineStr">
        <is>
          <t>AI ARR booked ($M)</t>
        </is>
      </c>
      <c r="B9" s="13" t="n">
        <v>800</v>
      </c>
      <c r="C9" s="13" t="n">
        <v>1440</v>
      </c>
      <c r="D9" s="13" t="n">
        <v>2304</v>
      </c>
      <c r="E9" s="13" t="n">
        <v>3226</v>
      </c>
    </row>
    <row r="10">
      <c r="A10" s="2" t="inlineStr">
        <is>
          <t>AI ARR recognized ($M)</t>
        </is>
      </c>
      <c r="B10" s="12" t="n">
        <v>560</v>
      </c>
      <c r="C10" s="12" t="n">
        <v>1200</v>
      </c>
      <c r="D10" s="12" t="n">
        <v>2143</v>
      </c>
      <c r="E10" s="12" t="n">
        <v>3152</v>
      </c>
    </row>
    <row r="11">
      <c r="A11" s="22" t="inlineStr">
        <is>
          <t>Deferred balance ($M)</t>
        </is>
      </c>
      <c r="B11" s="20" t="n">
        <v>240</v>
      </c>
      <c r="C11" s="20" t="n">
        <v>480</v>
      </c>
      <c r="D11" s="20" t="n">
        <v>641</v>
      </c>
      <c r="E11" s="20" t="n">
        <v>714</v>
      </c>
    </row>
    <row r="12">
      <c r="A12" s="22" t="inlineStr">
        <is>
          <t>Booked − Recognized</t>
        </is>
      </c>
      <c r="B12" s="53" t="n">
        <v>240</v>
      </c>
      <c r="C12" s="53" t="n">
        <v>240</v>
      </c>
      <c r="D12" s="53" t="n">
        <v>161</v>
      </c>
      <c r="E12" s="53" t="n">
        <v>74</v>
      </c>
    </row>
    <row r="14">
      <c r="A14" s="3" t="inlineStr">
        <is>
          <t>Runs For Cash</t>
        </is>
      </c>
      <c r="B14" s="21" t="n"/>
      <c r="C14" s="21" t="n"/>
      <c r="D14" s="21" t="n"/>
      <c r="E14" s="21" t="n"/>
      <c r="F14" s="21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22" t="inlineStr">
        <is>
          <t>Booked growth %</t>
        </is>
      </c>
      <c r="B16" s="10" t="n">
        <v>0.3</v>
      </c>
      <c r="C16" s="10" t="n">
        <v>0.15</v>
      </c>
      <c r="D16" s="10" t="n">
        <v>0.05</v>
      </c>
      <c r="E16" s="10" t="n">
        <v>0</v>
      </c>
    </row>
    <row r="17">
      <c r="A17" s="22" t="inlineStr">
        <is>
          <t>Deferred fraction %</t>
        </is>
      </c>
      <c r="B17" s="10" t="n">
        <v>0.2</v>
      </c>
      <c r="C17" s="10" t="n">
        <v>0.15</v>
      </c>
      <c r="D17" s="10" t="n">
        <v>0.1</v>
      </c>
      <c r="E17" s="10" t="n">
        <v>0.1</v>
      </c>
    </row>
    <row r="18">
      <c r="A18" s="22" t="inlineStr">
        <is>
          <t>AI ARR booked ($M)</t>
        </is>
      </c>
      <c r="B18" s="13" t="n">
        <v>520</v>
      </c>
      <c r="C18" s="13" t="n">
        <v>598</v>
      </c>
      <c r="D18" s="13" t="n">
        <v>628</v>
      </c>
      <c r="E18" s="13" t="n">
        <v>628</v>
      </c>
    </row>
    <row r="19">
      <c r="A19" s="2" t="inlineStr">
        <is>
          <t>AI ARR recognized ($M)</t>
        </is>
      </c>
      <c r="B19" s="12" t="n">
        <v>416</v>
      </c>
      <c r="C19" s="12" t="n">
        <v>560</v>
      </c>
      <c r="D19" s="12" t="n">
        <v>662</v>
      </c>
      <c r="E19" s="12" t="n">
        <v>641</v>
      </c>
    </row>
    <row r="20">
      <c r="A20" s="22" t="inlineStr">
        <is>
          <t>Deferred balance ($M)</t>
        </is>
      </c>
      <c r="B20" s="20" t="n">
        <v>104</v>
      </c>
      <c r="C20" s="20" t="n">
        <v>142</v>
      </c>
      <c r="D20" s="20" t="n">
        <v>108</v>
      </c>
      <c r="E20" s="20" t="n">
        <v>94</v>
      </c>
    </row>
    <row r="21">
      <c r="A21" s="22" t="inlineStr">
        <is>
          <t>Booked − Recognized</t>
        </is>
      </c>
      <c r="B21" s="53" t="n">
        <v>104</v>
      </c>
      <c r="C21" s="53" t="n">
        <v>38</v>
      </c>
      <c r="D21" s="53" t="n">
        <v>-34</v>
      </c>
      <c r="E21" s="53" t="n">
        <v>-13</v>
      </c>
    </row>
    <row r="23">
      <c r="A23" s="3" t="inlineStr">
        <is>
          <t>What Goes Wrong</t>
        </is>
      </c>
      <c r="B23" s="21" t="n"/>
      <c r="C23" s="21" t="n"/>
      <c r="D23" s="21" t="n"/>
      <c r="E23" s="21" t="n"/>
      <c r="F23" s="21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22" t="inlineStr">
        <is>
          <t>Booked growth %</t>
        </is>
      </c>
      <c r="B25" s="10" t="n">
        <v>0.2</v>
      </c>
      <c r="C25" s="10" t="n">
        <v>0.1</v>
      </c>
      <c r="D25" s="10" t="n">
        <v>0.05</v>
      </c>
      <c r="E25" s="10" t="n">
        <v>0</v>
      </c>
    </row>
    <row r="26">
      <c r="A26" s="22" t="inlineStr">
        <is>
          <t>Deferred fraction %</t>
        </is>
      </c>
      <c r="B26" s="10" t="n">
        <v>0.15</v>
      </c>
      <c r="C26" s="10" t="n">
        <v>0.1</v>
      </c>
      <c r="D26" s="10" t="n">
        <v>0.05</v>
      </c>
      <c r="E26" s="10" t="n">
        <v>0.05</v>
      </c>
    </row>
    <row r="27">
      <c r="A27" s="22" t="inlineStr">
        <is>
          <t>AI ARR booked ($M)</t>
        </is>
      </c>
      <c r="B27" s="13" t="n">
        <v>480</v>
      </c>
      <c r="C27" s="13" t="n">
        <v>528</v>
      </c>
      <c r="D27" s="13" t="n">
        <v>554</v>
      </c>
      <c r="E27" s="13" t="n">
        <v>554</v>
      </c>
    </row>
    <row r="28">
      <c r="A28" s="2" t="inlineStr">
        <is>
          <t>AI ARR recognized ($M)</t>
        </is>
      </c>
      <c r="B28" s="12" t="n">
        <v>408</v>
      </c>
      <c r="C28" s="12" t="n">
        <v>511</v>
      </c>
      <c r="D28" s="12" t="n">
        <v>589</v>
      </c>
      <c r="E28" s="12" t="n">
        <v>567</v>
      </c>
    </row>
    <row r="29">
      <c r="A29" s="22" t="inlineStr">
        <is>
          <t>Deferred balance ($M)</t>
        </is>
      </c>
      <c r="B29" s="20" t="n">
        <v>72</v>
      </c>
      <c r="C29" s="20" t="n">
        <v>89</v>
      </c>
      <c r="D29" s="20" t="n">
        <v>54</v>
      </c>
      <c r="E29" s="20" t="n">
        <v>42</v>
      </c>
    </row>
    <row r="30">
      <c r="A30" s="22" t="inlineStr">
        <is>
          <t>Booked − Recognized</t>
        </is>
      </c>
      <c r="B30" s="53" t="n">
        <v>72</v>
      </c>
      <c r="C30" s="53" t="n">
        <v>17</v>
      </c>
      <c r="D30" s="53" t="n">
        <v>-35</v>
      </c>
      <c r="E30" s="53" t="n">
        <v>-13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2026-05-20T22:16:03Z</dcterms:created>
  <dcterms:modified xmlns:dcterms="http://purl.org/dc/terms/" xmlns:xsi="http://www.w3.org/2001/XMLSchema-instance" xsi:type="dcterms:W3CDTF">2026-05-20T22:16:03Z</dcterms:modified>
</cp:coreProperties>
</file>