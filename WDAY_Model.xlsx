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Forecast_AI" sheetId="5" state="visible" r:id="rId5"/>
    <sheet xmlns:r="http://schemas.openxmlformats.org/officeDocument/2006/relationships" name="Forecast_Cash" sheetId="6" state="visible" r:id="rId6"/>
    <sheet xmlns:r="http://schemas.openxmlformats.org/officeDocument/2006/relationships" name="Forecast_Bear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itivities" sheetId="11" state="visible" r:id="rId11"/>
    <sheet xmlns:r="http://schemas.openxmlformats.org/officeDocument/2006/relationships" name="AI_Deferred" sheetId="12" state="visible" r:id="rId12"/>
    <sheet xmlns:r="http://schemas.openxmlformats.org/officeDocument/2006/relationships" name="3Stmt_AI" sheetId="13" state="visible" r:id="rId13"/>
    <sheet xmlns:r="http://schemas.openxmlformats.org/officeDocument/2006/relationships" name="3Stmt_Cash" sheetId="14" state="visible" r:id="rId14"/>
    <sheet xmlns:r="http://schemas.openxmlformats.org/officeDocument/2006/relationships" name="3Stmt_Be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.0"/>
    <numFmt numFmtId="169" formatCode="&quot;$&quot;#,##0.00"/>
    <numFmt numFmtId="170" formatCode="&quot;$&quot;#,##0"/>
    <numFmt numFmtId="171" formatCode="#,##0;(#,##0)"/>
    <numFmt numFmtId="172" formatCode="+0.0%;-0.0%;0.0%"/>
    <numFmt numFmtId="173" formatCode="&quot;$&quot;#,##0.00;(&quot;$&quot;#,##0.00)"/>
    <numFmt numFmtId="174" formatCode="+#,##0;-#,##0"/>
    <numFmt numFmtId="175" formatCode="+#,##0;-#,##0;0"/>
  </numFmts>
  <fonts count="9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00294b"/>
      <sz val="11"/>
    </font>
    <font>
      <name val="Calibri"/>
      <b val="1"/>
      <color rgb="0000294b"/>
      <sz val="12"/>
    </font>
    <font>
      <name val="Calibri"/>
      <i val="1"/>
      <sz val="10"/>
    </font>
  </fonts>
  <fills count="11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ddf6f6"/>
      </patternFill>
    </fill>
    <fill>
      <patternFill patternType="solid">
        <fgColor rgb="00bae5dc"/>
      </patternFill>
    </fill>
    <fill>
      <patternFill patternType="solid">
        <fgColor rgb="00fbeaf2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0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8" fontId="0" fillId="0" borderId="0" pivotButton="0" quotePrefix="0" xfId="0"/>
    <xf numFmtId="3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pivotButton="0" quotePrefix="0" xfId="0"/>
    <xf numFmtId="171" fontId="0" fillId="0" borderId="0" pivotButton="0" quotePrefix="0" xfId="0"/>
    <xf numFmtId="0" fontId="4" fillId="4" borderId="0" pivotButton="0" quotePrefix="0" xfId="0"/>
    <xf numFmtId="171" fontId="0" fillId="4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6" fillId="3" borderId="0" pivotButton="0" quotePrefix="0" xfId="0"/>
    <xf numFmtId="168" fontId="0" fillId="7" borderId="0" pivotButton="0" quotePrefix="0" xfId="0"/>
    <xf numFmtId="169" fontId="0" fillId="7" borderId="0" pivotButton="0" quotePrefix="0" xfId="0"/>
    <xf numFmtId="3" fontId="0" fillId="7" borderId="0" pivotButton="0" quotePrefix="0" xfId="0"/>
    <xf numFmtId="170" fontId="0" fillId="7" borderId="0" pivotButton="0" quotePrefix="0" xfId="0"/>
    <xf numFmtId="165" fontId="0" fillId="7" borderId="0" pivotButton="0" quotePrefix="0" xfId="0"/>
    <xf numFmtId="171" fontId="0" fillId="7" borderId="0" pivotButton="0" quotePrefix="0" xfId="0"/>
    <xf numFmtId="172" fontId="0" fillId="0" borderId="0" pivotButton="0" quotePrefix="0" xfId="0"/>
    <xf numFmtId="170" fontId="0" fillId="4" borderId="0" pivotButton="0" quotePrefix="0" xfId="0"/>
    <xf numFmtId="0" fontId="7" fillId="3" borderId="0" pivotButton="0" quotePrefix="0" xfId="0"/>
    <xf numFmtId="0" fontId="8" fillId="0" borderId="0" pivotButton="0" quotePrefix="0" xfId="0"/>
    <xf numFmtId="170" fontId="0" fillId="8" borderId="0" pivotButton="0" quotePrefix="0" xfId="0"/>
    <xf numFmtId="170" fontId="0" fillId="9" borderId="0" pivotButton="0" quotePrefix="0" xfId="0"/>
    <xf numFmtId="170" fontId="0" fillId="10" borderId="0" pivotButton="0" quotePrefix="0" xfId="0"/>
    <xf numFmtId="174" fontId="0" fillId="0" borderId="0" pivotButton="0" quotePrefix="0" xfId="0"/>
    <xf numFmtId="175" fontId="0" fillId="4" borderId="0" pivotButton="0" quotePrefix="0" xfId="0"/>
    <xf numFmtId="174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+111.6%</t>
        </is>
      </c>
    </row>
    <row r="18">
      <c r="A18" s="2" t="inlineStr">
        <is>
          <t>Prob-weighted FY30 TSR (4yr)</t>
        </is>
      </c>
      <c r="B18" t="inlineStr">
        <is>
          <t>+147.9%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577.92</v>
      </c>
      <c r="D22" s="7" t="n">
        <v>448.58</v>
      </c>
      <c r="E22" s="6" t="n">
        <v>0</v>
      </c>
      <c r="F22" s="8" t="n">
        <v>5652</v>
      </c>
      <c r="G22" s="9" t="n">
        <v>3.468</v>
      </c>
      <c r="H22" s="10" t="n">
        <v>0.647</v>
      </c>
    </row>
    <row r="23">
      <c r="A23" t="inlineStr">
        <is>
          <t>Runs For Cash</t>
        </is>
      </c>
      <c r="B23" s="5" t="n">
        <v>0.35</v>
      </c>
      <c r="C23" s="6" t="n">
        <v>125.26</v>
      </c>
      <c r="D23" s="7" t="n">
        <v>-4.08</v>
      </c>
      <c r="E23" s="6" t="n">
        <v>11.78</v>
      </c>
      <c r="F23" s="8" t="n">
        <v>6617</v>
      </c>
      <c r="G23" s="9" t="n">
        <v>0.06</v>
      </c>
      <c r="H23" s="10" t="n">
        <v>0.019</v>
      </c>
    </row>
    <row r="24">
      <c r="A24" t="inlineStr">
        <is>
          <t>What Goes Wrong</t>
        </is>
      </c>
      <c r="B24" s="5" t="n">
        <v>0.3</v>
      </c>
      <c r="C24" s="6" t="n">
        <v>74.88</v>
      </c>
      <c r="D24" s="7" t="n">
        <v>-54.46</v>
      </c>
      <c r="E24" s="6" t="n">
        <v>3.39</v>
      </c>
      <c r="F24" s="8" t="n">
        <v>2970</v>
      </c>
      <c r="G24" s="9" t="n">
        <v>-0.395</v>
      </c>
      <c r="H24" s="10" t="n">
        <v>-0.154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708.15</v>
      </c>
      <c r="D28" s="7" t="n">
        <v>578.8099999999999</v>
      </c>
      <c r="E28" s="6" t="n">
        <v>0</v>
      </c>
      <c r="F28" s="8" t="n">
        <v>10044</v>
      </c>
      <c r="G28" s="9" t="n">
        <v>4.475</v>
      </c>
      <c r="H28" s="10" t="n">
        <v>0.53</v>
      </c>
    </row>
    <row r="29">
      <c r="A29" t="inlineStr">
        <is>
          <t>Runs For Cash</t>
        </is>
      </c>
      <c r="B29" s="5" t="n">
        <v>0.35</v>
      </c>
      <c r="C29" s="6" t="n">
        <v>124.93</v>
      </c>
      <c r="D29" s="7" t="n">
        <v>-4.41</v>
      </c>
      <c r="E29" s="6" t="n">
        <v>18.94</v>
      </c>
      <c r="F29" s="8" t="n">
        <v>9556</v>
      </c>
      <c r="G29" s="9" t="n">
        <v>0.112</v>
      </c>
      <c r="H29" s="10" t="n">
        <v>0.027</v>
      </c>
    </row>
    <row r="30">
      <c r="A30" t="inlineStr">
        <is>
          <t>What Goes Wrong</t>
        </is>
      </c>
      <c r="B30" s="5" t="n">
        <v>0.3</v>
      </c>
      <c r="C30" s="6" t="n">
        <v>69.15000000000001</v>
      </c>
      <c r="D30" s="7" t="n">
        <v>-60.19</v>
      </c>
      <c r="E30" s="6" t="n">
        <v>5.48</v>
      </c>
      <c r="F30" s="8" t="n">
        <v>3841</v>
      </c>
      <c r="G30" s="9" t="n">
        <v>-0.423</v>
      </c>
      <c r="H30" s="10" t="n">
        <v>-0.128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$20.35 FY29 FCF/share growing 18% = $578 + $22 cum cap return = TSR +347%</t>
        </is>
      </c>
    </row>
    <row r="34">
      <c r="A34" t="inlineStr">
        <is>
          <t>Runs For Cash</t>
        </is>
      </c>
      <c r="B34" t="inlineStr">
        <is>
          <t>9x FCF on $13.77 FY29 FCF/share growing -7% = $125 + $38 cum cap return = TSR +6%</t>
        </is>
      </c>
    </row>
    <row r="35">
      <c r="A35" t="inlineStr">
        <is>
          <t>What Goes Wrong</t>
        </is>
      </c>
      <c r="B35" t="inlineStr">
        <is>
          <t>7x FCF on $8.38 FY29 FCF/share growing -9% = $75 + $15 cum cap return = TSR -40%</t>
        </is>
      </c>
    </row>
    <row r="37">
      <c r="A37" s="3" t="inlineStr">
        <is>
          <t>Unit-economics at a glance (formula-linked to Assumptions)</t>
        </is>
      </c>
    </row>
    <row r="38">
      <c r="A38" s="4" t="inlineStr">
        <is>
          <t>Scenario / driver</t>
        </is>
      </c>
      <c r="B38" s="4" t="inlineStr">
        <is>
          <t>Year</t>
        </is>
      </c>
      <c r="C38" s="4" t="inlineStr">
        <is>
          <t>FY27</t>
        </is>
      </c>
      <c r="D38" s="4" t="inlineStr">
        <is>
          <t>FY28</t>
        </is>
      </c>
      <c r="E38" s="4" t="inlineStr">
        <is>
          <t>FY29</t>
        </is>
      </c>
      <c r="F38" s="4" t="inlineStr">
        <is>
          <t>FY30</t>
        </is>
      </c>
    </row>
    <row r="39">
      <c r="A39" s="3" t="inlineStr">
        <is>
          <t>AI Winner</t>
        </is>
      </c>
    </row>
    <row r="40">
      <c r="A40" t="inlineStr">
        <is>
          <t xml:space="preserve">  HCM seats served (M)</t>
        </is>
      </c>
      <c r="C40" s="11">
        <f>Assumptions!C70</f>
        <v/>
      </c>
      <c r="D40" s="11">
        <f>Assumptions!D70</f>
        <v/>
      </c>
      <c r="E40" s="11">
        <f>Assumptions!E70</f>
        <v/>
      </c>
      <c r="F40" s="11">
        <f>Assumptions!F70</f>
        <v/>
      </c>
    </row>
    <row r="41">
      <c r="A41" t="inlineStr">
        <is>
          <t xml:space="preserve">  HCM blended PEPM ($/mo)</t>
        </is>
      </c>
      <c r="C41" s="6">
        <f>Assumptions!C74</f>
        <v/>
      </c>
      <c r="D41" s="6">
        <f>Assumptions!D74</f>
        <v/>
      </c>
      <c r="E41" s="6">
        <f>Assumptions!E74</f>
        <v/>
      </c>
      <c r="F41" s="6">
        <f>Assumptions!F74</f>
        <v/>
      </c>
    </row>
    <row r="42">
      <c r="A42" s="2" t="inlineStr">
        <is>
          <t xml:space="preserve">  HCM revenue ($M)</t>
        </is>
      </c>
      <c r="C42" s="12">
        <f>Assumptions!C70*Assumptions!C74*12</f>
        <v/>
      </c>
      <c r="D42" s="12">
        <f>Assumptions!D70*Assumptions!D74*12</f>
        <v/>
      </c>
      <c r="E42" s="12">
        <f>Assumptions!E70*Assumptions!E74*12</f>
        <v/>
      </c>
      <c r="F42" s="12">
        <f>Assumptions!F70*Assumptions!F74*12</f>
        <v/>
      </c>
    </row>
    <row r="43">
      <c r="A43" t="inlineStr">
        <is>
          <t xml:space="preserve">  Financials customers (#)</t>
        </is>
      </c>
      <c r="C43" s="13">
        <f>Assumptions!C82</f>
        <v/>
      </c>
      <c r="D43" s="13">
        <f>Assumptions!D82</f>
        <v/>
      </c>
      <c r="E43" s="13">
        <f>Assumptions!E82</f>
        <v/>
      </c>
      <c r="F43" s="13">
        <f>Assumptions!F82</f>
        <v/>
      </c>
    </row>
    <row r="44">
      <c r="A44" t="inlineStr">
        <is>
          <t xml:space="preserve">  Financials ARPC ($k/yr)</t>
        </is>
      </c>
      <c r="C44" s="8">
        <f>Assumptions!C86</f>
        <v/>
      </c>
      <c r="D44" s="8">
        <f>Assumptions!D86</f>
        <v/>
      </c>
      <c r="E44" s="8">
        <f>Assumptions!E86</f>
        <v/>
      </c>
      <c r="F44" s="8">
        <f>Assumptions!F86</f>
        <v/>
      </c>
    </row>
    <row r="45">
      <c r="A45" s="2" t="inlineStr">
        <is>
          <t xml:space="preserve">  Financials revenue ($M)</t>
        </is>
      </c>
      <c r="C45" s="12">
        <f>Assumptions!C82*Assumptions!C86/1000</f>
        <v/>
      </c>
      <c r="D45" s="12">
        <f>Assumptions!D82*Assumptions!D86/1000</f>
        <v/>
      </c>
      <c r="E45" s="12">
        <f>Assumptions!E82*Assumptions!E86/1000</f>
        <v/>
      </c>
      <c r="F45" s="12">
        <f>Assumptions!F82*Assumptions!F86/1000</f>
        <v/>
      </c>
    </row>
    <row r="46">
      <c r="A46" t="inlineStr">
        <is>
          <t xml:space="preserve">  Sub rev / HCM seat ($/yr, incl AI)</t>
        </is>
      </c>
      <c r="C46" s="8">
        <f>(Assumptions!C70*Assumptions!C74*12+Revenue_Build!B10)*1000/Assumptions!C70</f>
        <v/>
      </c>
      <c r="D46" s="8">
        <f>(Assumptions!D70*Assumptions!D74*12+Revenue_Build!C10)*1000/Assumptions!D70</f>
        <v/>
      </c>
      <c r="E46" s="8">
        <f>(Assumptions!E70*Assumptions!E74*12+Revenue_Build!D10)*1000/Assumptions!E70</f>
        <v/>
      </c>
      <c r="F46" s="8">
        <f>(Assumptions!F70*Assumptions!F74*12+Revenue_Build!E10)*1000/Assumptions!F70</f>
        <v/>
      </c>
    </row>
    <row r="48">
      <c r="A48" s="3" t="inlineStr">
        <is>
          <t>Run For Cash</t>
        </is>
      </c>
    </row>
    <row r="49">
      <c r="A49" t="inlineStr">
        <is>
          <t xml:space="preserve">  HCM seats served (M)</t>
        </is>
      </c>
      <c r="C49" s="11">
        <f>Assumptions!C71</f>
        <v/>
      </c>
      <c r="D49" s="11">
        <f>Assumptions!D71</f>
        <v/>
      </c>
      <c r="E49" s="11">
        <f>Assumptions!E71</f>
        <v/>
      </c>
      <c r="F49" s="11">
        <f>Assumptions!F71</f>
        <v/>
      </c>
    </row>
    <row r="50">
      <c r="A50" t="inlineStr">
        <is>
          <t xml:space="preserve">  HCM blended PEPM ($/mo)</t>
        </is>
      </c>
      <c r="C50" s="6">
        <f>Assumptions!C75</f>
        <v/>
      </c>
      <c r="D50" s="6">
        <f>Assumptions!D75</f>
        <v/>
      </c>
      <c r="E50" s="6">
        <f>Assumptions!E75</f>
        <v/>
      </c>
      <c r="F50" s="6">
        <f>Assumptions!F75</f>
        <v/>
      </c>
    </row>
    <row r="51">
      <c r="A51" s="2" t="inlineStr">
        <is>
          <t xml:space="preserve">  HCM revenue ($M)</t>
        </is>
      </c>
      <c r="C51" s="12">
        <f>Assumptions!C71*Assumptions!C75*12</f>
        <v/>
      </c>
      <c r="D51" s="12">
        <f>Assumptions!D71*Assumptions!D75*12</f>
        <v/>
      </c>
      <c r="E51" s="12">
        <f>Assumptions!E71*Assumptions!E75*12</f>
        <v/>
      </c>
      <c r="F51" s="12">
        <f>Assumptions!F71*Assumptions!F75*12</f>
        <v/>
      </c>
    </row>
    <row r="52">
      <c r="A52" t="inlineStr">
        <is>
          <t xml:space="preserve">  Financials customers (#)</t>
        </is>
      </c>
      <c r="C52" s="13">
        <f>Assumptions!C83</f>
        <v/>
      </c>
      <c r="D52" s="13">
        <f>Assumptions!D83</f>
        <v/>
      </c>
      <c r="E52" s="13">
        <f>Assumptions!E83</f>
        <v/>
      </c>
      <c r="F52" s="13">
        <f>Assumptions!F83</f>
        <v/>
      </c>
    </row>
    <row r="53">
      <c r="A53" t="inlineStr">
        <is>
          <t xml:space="preserve">  Financials ARPC ($k/yr)</t>
        </is>
      </c>
      <c r="C53" s="8">
        <f>Assumptions!C87</f>
        <v/>
      </c>
      <c r="D53" s="8">
        <f>Assumptions!D87</f>
        <v/>
      </c>
      <c r="E53" s="8">
        <f>Assumptions!E87</f>
        <v/>
      </c>
      <c r="F53" s="8">
        <f>Assumptions!F87</f>
        <v/>
      </c>
    </row>
    <row r="54">
      <c r="A54" s="2" t="inlineStr">
        <is>
          <t xml:space="preserve">  Financials revenue ($M)</t>
        </is>
      </c>
      <c r="C54" s="12">
        <f>Assumptions!C83*Assumptions!C87/1000</f>
        <v/>
      </c>
      <c r="D54" s="12">
        <f>Assumptions!D83*Assumptions!D87/1000</f>
        <v/>
      </c>
      <c r="E54" s="12">
        <f>Assumptions!E83*Assumptions!E87/1000</f>
        <v/>
      </c>
      <c r="F54" s="12">
        <f>Assumptions!F83*Assumptions!F87/1000</f>
        <v/>
      </c>
    </row>
    <row r="55">
      <c r="A55" t="inlineStr">
        <is>
          <t xml:space="preserve">  Sub rev / HCM seat ($/yr, incl AI)</t>
        </is>
      </c>
      <c r="C55" s="8">
        <f>(Assumptions!C71*Assumptions!C75*12+Revenue_Build!B30)*1000/Assumptions!C71</f>
        <v/>
      </c>
      <c r="D55" s="8">
        <f>(Assumptions!D71*Assumptions!D75*12+Revenue_Build!C30)*1000/Assumptions!D71</f>
        <v/>
      </c>
      <c r="E55" s="8">
        <f>(Assumptions!E71*Assumptions!E75*12+Revenue_Build!D30)*1000/Assumptions!E71</f>
        <v/>
      </c>
      <c r="F55" s="8">
        <f>(Assumptions!F71*Assumptions!F75*12+Revenue_Build!E30)*1000/Assumptions!F71</f>
        <v/>
      </c>
    </row>
    <row r="57">
      <c r="A57" s="3" t="inlineStr">
        <is>
          <t>What Goes Wrong</t>
        </is>
      </c>
    </row>
    <row r="58">
      <c r="A58" t="inlineStr">
        <is>
          <t xml:space="preserve">  HCM seats served (M)</t>
        </is>
      </c>
      <c r="C58" s="11">
        <f>Assumptions!C72</f>
        <v/>
      </c>
      <c r="D58" s="11">
        <f>Assumptions!D72</f>
        <v/>
      </c>
      <c r="E58" s="11">
        <f>Assumptions!E72</f>
        <v/>
      </c>
      <c r="F58" s="11">
        <f>Assumptions!F72</f>
        <v/>
      </c>
    </row>
    <row r="59">
      <c r="A59" t="inlineStr">
        <is>
          <t xml:space="preserve">  HCM blended PEPM ($/mo)</t>
        </is>
      </c>
      <c r="C59" s="6">
        <f>Assumptions!C76</f>
        <v/>
      </c>
      <c r="D59" s="6">
        <f>Assumptions!D76</f>
        <v/>
      </c>
      <c r="E59" s="6">
        <f>Assumptions!E76</f>
        <v/>
      </c>
      <c r="F59" s="6">
        <f>Assumptions!F76</f>
        <v/>
      </c>
    </row>
    <row r="60">
      <c r="A60" s="2" t="inlineStr">
        <is>
          <t xml:space="preserve">  HCM revenue ($M)</t>
        </is>
      </c>
      <c r="C60" s="12">
        <f>Assumptions!C72*Assumptions!C76*12</f>
        <v/>
      </c>
      <c r="D60" s="12">
        <f>Assumptions!D72*Assumptions!D76*12</f>
        <v/>
      </c>
      <c r="E60" s="12">
        <f>Assumptions!E72*Assumptions!E76*12</f>
        <v/>
      </c>
      <c r="F60" s="12">
        <f>Assumptions!F72*Assumptions!F76*12</f>
        <v/>
      </c>
    </row>
    <row r="61">
      <c r="A61" t="inlineStr">
        <is>
          <t xml:space="preserve">  Financials customers (#)</t>
        </is>
      </c>
      <c r="C61" s="13">
        <f>Assumptions!C84</f>
        <v/>
      </c>
      <c r="D61" s="13">
        <f>Assumptions!D84</f>
        <v/>
      </c>
      <c r="E61" s="13">
        <f>Assumptions!E84</f>
        <v/>
      </c>
      <c r="F61" s="13">
        <f>Assumptions!F84</f>
        <v/>
      </c>
    </row>
    <row r="62">
      <c r="A62" t="inlineStr">
        <is>
          <t xml:space="preserve">  Financials ARPC ($k/yr)</t>
        </is>
      </c>
      <c r="C62" s="8">
        <f>Assumptions!C88</f>
        <v/>
      </c>
      <c r="D62" s="8">
        <f>Assumptions!D88</f>
        <v/>
      </c>
      <c r="E62" s="8">
        <f>Assumptions!E88</f>
        <v/>
      </c>
      <c r="F62" s="8">
        <f>Assumptions!F88</f>
        <v/>
      </c>
    </row>
    <row r="63">
      <c r="A63" s="2" t="inlineStr">
        <is>
          <t xml:space="preserve">  Financials revenue ($M)</t>
        </is>
      </c>
      <c r="C63" s="12">
        <f>Assumptions!C84*Assumptions!C88/1000</f>
        <v/>
      </c>
      <c r="D63" s="12">
        <f>Assumptions!D84*Assumptions!D88/1000</f>
        <v/>
      </c>
      <c r="E63" s="12">
        <f>Assumptions!E84*Assumptions!E88/1000</f>
        <v/>
      </c>
      <c r="F63" s="12">
        <f>Assumptions!F84*Assumptions!F88/1000</f>
        <v/>
      </c>
    </row>
    <row r="64">
      <c r="A64" t="inlineStr">
        <is>
          <t xml:space="preserve">  Sub rev / HCM seat ($/yr, incl AI)</t>
        </is>
      </c>
      <c r="C64" s="8">
        <f>(Assumptions!C72*Assumptions!C76*12+Revenue_Build!B50)*1000/Assumptions!C72</f>
        <v/>
      </c>
      <c r="D64" s="8">
        <f>(Assumptions!D72*Assumptions!D76*12+Revenue_Build!C50)*1000/Assumptions!D72</f>
        <v/>
      </c>
      <c r="E64" s="8">
        <f>(Assumptions!E72*Assumptions!E76*12+Revenue_Build!D50)*1000/Assumptions!E72</f>
        <v/>
      </c>
      <c r="F64" s="8">
        <f>(Assumptions!F72*Assumptions!F76*12+Revenue_Build!E50)*1000/Assumptions!F72</f>
        <v/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4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4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0.1056</v>
      </c>
      <c r="D11" s="10" t="n">
        <v>0.1667</v>
      </c>
      <c r="E11" s="10" t="n">
        <v>0.1843</v>
      </c>
      <c r="F11" s="10" t="n">
        <v>0.1671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0.0252</v>
      </c>
      <c r="D12" s="10" t="n">
        <v>-0.0328</v>
      </c>
      <c r="E12" s="10" t="n">
        <v>-0.0687</v>
      </c>
      <c r="F12" s="10" t="n">
        <v>-0.08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-0.0215</v>
      </c>
      <c r="D13" s="10" t="n">
        <v>-0.0795</v>
      </c>
      <c r="E13" s="10" t="n">
        <v>-0.09320000000000001</v>
      </c>
      <c r="F13" s="10" t="n">
        <v>-0.1015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0.2541</v>
      </c>
      <c r="D19" s="10" t="n">
        <v>0.2502</v>
      </c>
      <c r="E19" s="10" t="n">
        <v>0.2444</v>
      </c>
      <c r="F19" s="10" t="n">
        <v>0.2344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0.255</v>
      </c>
      <c r="D20" s="10" t="n">
        <v>0.255</v>
      </c>
      <c r="E20" s="10" t="n">
        <v>0.2551</v>
      </c>
      <c r="F20" s="10" t="n">
        <v>0.2525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0.2556</v>
      </c>
      <c r="D21" s="10" t="n">
        <v>0.2562</v>
      </c>
      <c r="E21" s="10" t="n">
        <v>0.2581</v>
      </c>
      <c r="F21" s="10" t="n">
        <v>0.2578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0.1999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0.0999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0.08989999999999999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0.1299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0.3599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0.2801</v>
      </c>
      <c r="F41" s="10" t="n">
        <v>0.2601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5" t="n">
        <v>10</v>
      </c>
    </row>
    <row r="48">
      <c r="B48" t="inlineStr">
        <is>
          <t>Run For Cash</t>
        </is>
      </c>
      <c r="C48" s="15" t="n">
        <v>3.5</v>
      </c>
    </row>
    <row r="49">
      <c r="B49" t="inlineStr">
        <is>
          <t>Bear</t>
        </is>
      </c>
      <c r="C49" s="15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6" t="n">
        <v>28</v>
      </c>
    </row>
    <row r="51">
      <c r="B51" t="inlineStr">
        <is>
          <t>Run For Cash</t>
        </is>
      </c>
      <c r="C51" s="16" t="n">
        <v>9</v>
      </c>
    </row>
    <row r="52">
      <c r="B52" t="inlineStr">
        <is>
          <t>Bear</t>
        </is>
      </c>
      <c r="C52" s="16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  <row r="58">
      <c r="A58" s="3" t="inlineStr">
        <is>
          <t>Unit economics — HCM seats × PEPM / Financials customers × ARPC</t>
        </is>
      </c>
    </row>
    <row r="59">
      <c r="A59" s="2" t="inlineStr">
        <is>
          <t>Historical (FY18-FY26)</t>
        </is>
      </c>
    </row>
    <row r="60">
      <c r="A60" t="inlineStr">
        <is>
          <t>$/seats/customers</t>
        </is>
      </c>
      <c r="B60" s="17" t="inlineStr">
        <is>
          <t>FY2018</t>
        </is>
      </c>
      <c r="C60" s="17" t="inlineStr">
        <is>
          <t>FY2019</t>
        </is>
      </c>
      <c r="D60" s="17" t="inlineStr">
        <is>
          <t>FY2020</t>
        </is>
      </c>
      <c r="E60" s="17" t="inlineStr">
        <is>
          <t>FY2021</t>
        </is>
      </c>
      <c r="F60" s="17" t="inlineStr">
        <is>
          <t>FY2022</t>
        </is>
      </c>
      <c r="G60" s="17" t="inlineStr">
        <is>
          <t>FY2023</t>
        </is>
      </c>
      <c r="H60" s="17" t="inlineStr">
        <is>
          <t>FY2024</t>
        </is>
      </c>
      <c r="I60" s="17" t="inlineStr">
        <is>
          <t>FY2025</t>
        </is>
      </c>
      <c r="J60" s="17" t="inlineStr">
        <is>
          <t>FY2026</t>
        </is>
      </c>
    </row>
    <row r="61">
      <c r="A61" t="inlineStr">
        <is>
          <t>HCM seats (M)</t>
        </is>
      </c>
      <c r="B61" s="11" t="n">
        <v>18.5</v>
      </c>
      <c r="C61" s="11" t="n">
        <v>22</v>
      </c>
      <c r="D61" s="11" t="n">
        <v>26</v>
      </c>
      <c r="E61" s="11" t="n">
        <v>29.5</v>
      </c>
      <c r="F61" s="11" t="n">
        <v>34</v>
      </c>
      <c r="G61" s="11" t="n">
        <v>40</v>
      </c>
      <c r="H61" s="11" t="n">
        <v>47</v>
      </c>
      <c r="I61" s="11" t="n">
        <v>53</v>
      </c>
      <c r="J61" s="11" t="n">
        <v>60</v>
      </c>
    </row>
    <row r="62">
      <c r="A62" t="inlineStr">
        <is>
          <t>HCM PEPM ($/mo)</t>
        </is>
      </c>
      <c r="B62" s="6" t="n">
        <v>8.74</v>
      </c>
      <c r="C62" s="6" t="n">
        <v>9.44</v>
      </c>
      <c r="D62" s="6" t="n">
        <v>9.800000000000001</v>
      </c>
      <c r="E62" s="6" t="n">
        <v>9.880000000000001</v>
      </c>
      <c r="F62" s="6" t="n">
        <v>10.17</v>
      </c>
      <c r="G62" s="6" t="n">
        <v>10.29</v>
      </c>
      <c r="H62" s="6" t="n">
        <v>9.130000000000001</v>
      </c>
      <c r="I62" s="6" t="n">
        <v>9.24</v>
      </c>
      <c r="J62" s="6" t="n">
        <v>7.82</v>
      </c>
    </row>
    <row r="63">
      <c r="A63" s="2" t="inlineStr">
        <is>
          <t>HCM revenue implied ($M) = seats × PEPM × 12</t>
        </is>
      </c>
      <c r="B63" s="13">
        <f>B61*B62*12</f>
        <v/>
      </c>
      <c r="C63" s="13">
        <f>C61*C62*12</f>
        <v/>
      </c>
      <c r="D63" s="13">
        <f>D61*D62*12</f>
        <v/>
      </c>
      <c r="E63" s="13">
        <f>E61*E62*12</f>
        <v/>
      </c>
      <c r="F63" s="13">
        <f>F61*F62*12</f>
        <v/>
      </c>
      <c r="G63" s="13">
        <f>G61*G62*12</f>
        <v/>
      </c>
      <c r="H63" s="13">
        <f>H61*H62*12</f>
        <v/>
      </c>
      <c r="I63" s="13">
        <f>I61*I62*12</f>
        <v/>
      </c>
      <c r="J63" s="13">
        <f>J61*J62*12</f>
        <v/>
      </c>
    </row>
    <row r="64">
      <c r="A64" t="inlineStr">
        <is>
          <t>Financials customers (#)</t>
        </is>
      </c>
      <c r="B64" s="13" t="n">
        <v>380</v>
      </c>
      <c r="C64" s="13" t="n">
        <v>490</v>
      </c>
      <c r="D64" s="13" t="n">
        <v>620</v>
      </c>
      <c r="E64" s="13" t="n">
        <v>770</v>
      </c>
      <c r="F64" s="13" t="n">
        <v>960</v>
      </c>
      <c r="G64" s="13" t="n">
        <v>1200</v>
      </c>
      <c r="H64" s="13" t="n">
        <v>1500</v>
      </c>
      <c r="I64" s="13" t="n">
        <v>1800</v>
      </c>
      <c r="J64" s="13" t="n">
        <v>2150</v>
      </c>
    </row>
    <row r="65">
      <c r="A65" t="inlineStr">
        <is>
          <t>Financials ARPC ($k/yr)</t>
        </is>
      </c>
      <c r="B65" s="8" t="n">
        <v>405</v>
      </c>
      <c r="C65" s="8" t="n">
        <v>462</v>
      </c>
      <c r="D65" s="8" t="n">
        <v>528</v>
      </c>
      <c r="E65" s="8" t="n">
        <v>599</v>
      </c>
      <c r="F65" s="8" t="n">
        <v>678</v>
      </c>
      <c r="G65" s="8" t="n">
        <v>808</v>
      </c>
      <c r="H65" s="8" t="n">
        <v>969</v>
      </c>
      <c r="I65" s="8" t="n">
        <v>965</v>
      </c>
      <c r="J65" s="8" t="n">
        <v>1304</v>
      </c>
    </row>
    <row r="66">
      <c r="A66" s="2" t="inlineStr">
        <is>
          <t>Financials revenue implied ($M) = customers × ARPC / 1000</t>
        </is>
      </c>
      <c r="B66" s="13">
        <f>B64*B65/1000</f>
        <v/>
      </c>
      <c r="C66" s="13">
        <f>C64*C65/1000</f>
        <v/>
      </c>
      <c r="D66" s="13">
        <f>D64*D65/1000</f>
        <v/>
      </c>
      <c r="E66" s="13">
        <f>E64*E65/1000</f>
        <v/>
      </c>
      <c r="F66" s="13">
        <f>F64*F65/1000</f>
        <v/>
      </c>
      <c r="G66" s="13">
        <f>G64*G65/1000</f>
        <v/>
      </c>
      <c r="H66" s="13">
        <f>H64*H65/1000</f>
        <v/>
      </c>
      <c r="I66" s="13">
        <f>I64*I65/1000</f>
        <v/>
      </c>
      <c r="J66" s="13">
        <f>J64*J65/1000</f>
        <v/>
      </c>
    </row>
    <row r="68">
      <c r="A68" s="2" t="inlineStr">
        <is>
          <t>Forecast (FY27-FY30) per scenario</t>
        </is>
      </c>
    </row>
    <row r="69">
      <c r="A69" t="inlineStr">
        <is>
          <t>$/seats/customers</t>
        </is>
      </c>
      <c r="B69" s="2" t="inlineStr">
        <is>
          <t>Scenario</t>
        </is>
      </c>
      <c r="C69" s="17" t="inlineStr">
        <is>
          <t>FY2027</t>
        </is>
      </c>
      <c r="D69" s="17" t="inlineStr">
        <is>
          <t>FY2028</t>
        </is>
      </c>
      <c r="E69" s="17" t="inlineStr">
        <is>
          <t>FY2029</t>
        </is>
      </c>
      <c r="F69" s="17" t="inlineStr">
        <is>
          <t>FY2030</t>
        </is>
      </c>
    </row>
    <row r="70">
      <c r="A70" t="inlineStr">
        <is>
          <t>HCM seats (M)</t>
        </is>
      </c>
      <c r="B70" t="inlineStr">
        <is>
          <t>AI Winner</t>
        </is>
      </c>
      <c r="C70" s="11" t="n">
        <v>62</v>
      </c>
      <c r="D70" s="11" t="n">
        <v>64</v>
      </c>
      <c r="E70" s="11" t="n">
        <v>66</v>
      </c>
      <c r="F70" s="11" t="n">
        <v>68</v>
      </c>
    </row>
    <row r="71">
      <c r="A71" t="inlineStr">
        <is>
          <t>HCM seats (M)</t>
        </is>
      </c>
      <c r="B71" t="inlineStr">
        <is>
          <t>Run For Cash</t>
        </is>
      </c>
      <c r="C71" s="11" t="n">
        <v>61.5</v>
      </c>
      <c r="D71" s="11" t="n">
        <v>60.5</v>
      </c>
      <c r="E71" s="11" t="n">
        <v>58.5</v>
      </c>
      <c r="F71" s="11" t="n">
        <v>56</v>
      </c>
    </row>
    <row r="72">
      <c r="A72" t="inlineStr">
        <is>
          <t>HCM seats (M)</t>
        </is>
      </c>
      <c r="B72" t="inlineStr">
        <is>
          <t>What Goes Wrong</t>
        </is>
      </c>
      <c r="C72" s="11" t="n">
        <v>60</v>
      </c>
      <c r="D72" s="11" t="n">
        <v>57</v>
      </c>
      <c r="E72" s="11" t="n">
        <v>54</v>
      </c>
      <c r="F72" s="11" t="n">
        <v>51</v>
      </c>
    </row>
    <row r="74">
      <c r="A74" t="inlineStr">
        <is>
          <t>HCM PEPM ($/mo)</t>
        </is>
      </c>
      <c r="B74" t="inlineStr">
        <is>
          <t>AI Winner</t>
        </is>
      </c>
      <c r="C74" s="6" t="n">
        <v>7.97</v>
      </c>
      <c r="D74" s="6" t="n">
        <v>8.300000000000001</v>
      </c>
      <c r="E74" s="6" t="n">
        <v>8.74</v>
      </c>
      <c r="F74" s="6" t="n">
        <v>9.18</v>
      </c>
    </row>
    <row r="75">
      <c r="A75" t="inlineStr">
        <is>
          <t>HCM PEPM ($/mo)</t>
        </is>
      </c>
      <c r="B75" t="inlineStr">
        <is>
          <t>Run For Cash</t>
        </is>
      </c>
      <c r="C75" s="6" t="n">
        <v>7.95</v>
      </c>
      <c r="D75" s="6" t="n">
        <v>7.8</v>
      </c>
      <c r="E75" s="6" t="n">
        <v>7.65</v>
      </c>
      <c r="F75" s="6" t="n">
        <v>7.5</v>
      </c>
    </row>
    <row r="76">
      <c r="A76" t="inlineStr">
        <is>
          <t>HCM PEPM ($/mo)</t>
        </is>
      </c>
      <c r="B76" t="inlineStr">
        <is>
          <t>What Goes Wrong</t>
        </is>
      </c>
      <c r="C76" s="6" t="n">
        <v>7.85</v>
      </c>
      <c r="D76" s="6" t="n">
        <v>7.65</v>
      </c>
      <c r="E76" s="6" t="n">
        <v>7.4</v>
      </c>
      <c r="F76" s="6" t="n">
        <v>7.15</v>
      </c>
    </row>
    <row r="78">
      <c r="A78" t="inlineStr">
        <is>
          <t>HCM revenue implied ($M) = seats × PEPM × 12</t>
        </is>
      </c>
      <c r="B78" t="inlineStr">
        <is>
          <t>AI Winner</t>
        </is>
      </c>
      <c r="C78" s="13">
        <f>C70*C74*12</f>
        <v/>
      </c>
      <c r="D78" s="13">
        <f>D70*D74*12</f>
        <v/>
      </c>
      <c r="E78" s="13">
        <f>E70*E74*12</f>
        <v/>
      </c>
      <c r="F78" s="13">
        <f>F70*F74*12</f>
        <v/>
      </c>
    </row>
    <row r="79">
      <c r="A79" t="inlineStr">
        <is>
          <t>HCM revenue implied ($M) = seats × PEPM × 12</t>
        </is>
      </c>
      <c r="B79" t="inlineStr">
        <is>
          <t>Run For Cash</t>
        </is>
      </c>
      <c r="C79" s="13">
        <f>C71*C75*12</f>
        <v/>
      </c>
      <c r="D79" s="13">
        <f>D71*D75*12</f>
        <v/>
      </c>
      <c r="E79" s="13">
        <f>E71*E75*12</f>
        <v/>
      </c>
      <c r="F79" s="13">
        <f>F71*F75*12</f>
        <v/>
      </c>
    </row>
    <row r="80">
      <c r="A80" t="inlineStr">
        <is>
          <t>HCM revenue implied ($M) = seats × PEPM × 12</t>
        </is>
      </c>
      <c r="B80" t="inlineStr">
        <is>
          <t>What Goes Wrong</t>
        </is>
      </c>
      <c r="C80" s="13">
        <f>C72*C76*12</f>
        <v/>
      </c>
      <c r="D80" s="13">
        <f>D72*D76*12</f>
        <v/>
      </c>
      <c r="E80" s="13">
        <f>E72*E76*12</f>
        <v/>
      </c>
      <c r="F80" s="13">
        <f>F72*F76*12</f>
        <v/>
      </c>
    </row>
    <row r="82">
      <c r="A82" t="inlineStr">
        <is>
          <t>Financials customers (#)</t>
        </is>
      </c>
      <c r="B82" t="inlineStr">
        <is>
          <t>AI Winner</t>
        </is>
      </c>
      <c r="C82" s="13" t="n">
        <v>2400</v>
      </c>
      <c r="D82" s="13" t="n">
        <v>2700</v>
      </c>
      <c r="E82" s="13" t="n">
        <v>3000</v>
      </c>
      <c r="F82" s="13" t="n">
        <v>3300</v>
      </c>
    </row>
    <row r="83">
      <c r="A83" t="inlineStr">
        <is>
          <t>Financials customers (#)</t>
        </is>
      </c>
      <c r="B83" t="inlineStr">
        <is>
          <t>Run For Cash</t>
        </is>
      </c>
      <c r="C83" s="13" t="n">
        <v>2250</v>
      </c>
      <c r="D83" s="13" t="n">
        <v>2250</v>
      </c>
      <c r="E83" s="13" t="n">
        <v>2150</v>
      </c>
      <c r="F83" s="13" t="n">
        <v>2050</v>
      </c>
    </row>
    <row r="84">
      <c r="A84" t="inlineStr">
        <is>
          <t>Financials customers (#)</t>
        </is>
      </c>
      <c r="B84" t="inlineStr">
        <is>
          <t>What Goes Wrong</t>
        </is>
      </c>
      <c r="C84" s="13" t="n">
        <v>2200</v>
      </c>
      <c r="D84" s="13" t="n">
        <v>2100</v>
      </c>
      <c r="E84" s="13" t="n">
        <v>1950</v>
      </c>
      <c r="F84" s="13" t="n">
        <v>1800</v>
      </c>
    </row>
    <row r="86">
      <c r="A86" t="inlineStr">
        <is>
          <t>Financials ARPC ($k/yr)</t>
        </is>
      </c>
      <c r="B86" t="inlineStr">
        <is>
          <t>AI Winner</t>
        </is>
      </c>
      <c r="C86" s="8" t="n">
        <v>1400</v>
      </c>
      <c r="D86" s="8" t="n">
        <v>1500</v>
      </c>
      <c r="E86" s="8" t="n">
        <v>1610</v>
      </c>
      <c r="F86" s="8" t="n">
        <v>1720</v>
      </c>
    </row>
    <row r="87">
      <c r="A87" t="inlineStr">
        <is>
          <t>Financials ARPC ($k/yr)</t>
        </is>
      </c>
      <c r="B87" t="inlineStr">
        <is>
          <t>Run For Cash</t>
        </is>
      </c>
      <c r="C87" s="8" t="n">
        <v>1250</v>
      </c>
      <c r="D87" s="8" t="n">
        <v>1165</v>
      </c>
      <c r="E87" s="8" t="n">
        <v>1040</v>
      </c>
      <c r="F87" s="8" t="n">
        <v>950</v>
      </c>
    </row>
    <row r="88">
      <c r="A88" t="inlineStr">
        <is>
          <t>Financials ARPC ($k/yr)</t>
        </is>
      </c>
      <c r="B88" t="inlineStr">
        <is>
          <t>What Goes Wrong</t>
        </is>
      </c>
      <c r="C88" s="8" t="n">
        <v>1200</v>
      </c>
      <c r="D88" s="8" t="n">
        <v>1100</v>
      </c>
      <c r="E88" s="8" t="n">
        <v>1000</v>
      </c>
      <c r="F88" s="8" t="n">
        <v>920</v>
      </c>
    </row>
    <row r="90">
      <c r="A90" t="inlineStr">
        <is>
          <t>Financials revenue implied ($M) = customers × ARPC / 1000</t>
        </is>
      </c>
      <c r="B90" t="inlineStr">
        <is>
          <t>AI Winner</t>
        </is>
      </c>
      <c r="C90" s="13">
        <f>C82*C86/1000</f>
        <v/>
      </c>
      <c r="D90" s="13">
        <f>D82*D86/1000</f>
        <v/>
      </c>
      <c r="E90" s="13">
        <f>E82*E86/1000</f>
        <v/>
      </c>
      <c r="F90" s="13">
        <f>F82*F86/1000</f>
        <v/>
      </c>
    </row>
    <row r="91">
      <c r="A91" t="inlineStr">
        <is>
          <t>Financials revenue implied ($M) = customers × ARPC / 1000</t>
        </is>
      </c>
      <c r="B91" t="inlineStr">
        <is>
          <t>Run For Cash</t>
        </is>
      </c>
      <c r="C91" s="13">
        <f>C83*C87/1000</f>
        <v/>
      </c>
      <c r="D91" s="13">
        <f>D83*D87/1000</f>
        <v/>
      </c>
      <c r="E91" s="13">
        <f>E83*E87/1000</f>
        <v/>
      </c>
      <c r="F91" s="13">
        <f>F83*F87/1000</f>
        <v/>
      </c>
    </row>
    <row r="92">
      <c r="A92" t="inlineStr">
        <is>
          <t>Financials revenue implied ($M) = customers × ARPC / 1000</t>
        </is>
      </c>
      <c r="B92" t="inlineStr">
        <is>
          <t>What Goes Wrong</t>
        </is>
      </c>
      <c r="C92" s="13">
        <f>C84*C88/1000</f>
        <v/>
      </c>
      <c r="D92" s="13">
        <f>D84*D88/1000</f>
        <v/>
      </c>
      <c r="E92" s="13">
        <f>E84*E88/1000</f>
        <v/>
      </c>
      <c r="F92" s="13">
        <f>F84*F88/1000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8" t="n"/>
      <c r="C4" s="18" t="n"/>
      <c r="D4" s="18" t="n"/>
      <c r="E4" s="18" t="n"/>
      <c r="F4" s="18" t="n"/>
      <c r="G4" s="18" t="n"/>
      <c r="H4" s="18" t="n"/>
    </row>
    <row r="5">
      <c r="A5" s="19" t="inlineStr">
        <is>
          <t>Revenue</t>
        </is>
      </c>
      <c r="B5" s="20" t="n">
        <v>4318</v>
      </c>
      <c r="C5" s="20" t="n">
        <v>5139</v>
      </c>
      <c r="D5" s="20" t="n">
        <v>6216</v>
      </c>
      <c r="E5" s="20" t="n">
        <v>7259</v>
      </c>
      <c r="F5" s="20" t="n">
        <v>8446</v>
      </c>
      <c r="G5" s="20" t="n">
        <v>9552</v>
      </c>
    </row>
    <row r="6">
      <c r="A6" s="19" t="inlineStr">
        <is>
          <t>Cost of revenue</t>
        </is>
      </c>
      <c r="B6" s="20" t="n">
        <v>1198.1</v>
      </c>
      <c r="C6" s="20" t="n">
        <v>1428</v>
      </c>
      <c r="D6" s="20" t="n">
        <v>1750</v>
      </c>
      <c r="E6" s="20" t="n">
        <v>1771</v>
      </c>
      <c r="F6" s="20" t="n">
        <v>2153</v>
      </c>
      <c r="G6" s="20" t="n">
        <v>2624</v>
      </c>
    </row>
    <row r="7">
      <c r="A7" s="21" t="inlineStr">
        <is>
          <t>Gross profit</t>
        </is>
      </c>
      <c r="B7" s="22" t="n">
        <v>3119.9</v>
      </c>
      <c r="C7" s="22" t="n">
        <v>3711</v>
      </c>
      <c r="D7" s="22" t="n">
        <v>4466</v>
      </c>
      <c r="E7" s="22" t="n">
        <v>5488</v>
      </c>
      <c r="F7" s="22" t="n">
        <v>6293</v>
      </c>
      <c r="G7" s="22" t="n">
        <v>6928</v>
      </c>
    </row>
    <row r="8">
      <c r="A8" s="19" t="inlineStr">
        <is>
          <t>R&amp;D</t>
        </is>
      </c>
      <c r="B8" s="20" t="n">
        <v>1721.2</v>
      </c>
      <c r="C8" s="20" t="n">
        <v>1879</v>
      </c>
      <c r="D8" s="20" t="n">
        <v>2247</v>
      </c>
      <c r="E8" s="20" t="n">
        <v>2464</v>
      </c>
      <c r="F8" s="20" t="n">
        <v>2626</v>
      </c>
      <c r="G8" s="20" t="n">
        <v>2679</v>
      </c>
    </row>
    <row r="9">
      <c r="A9" s="19" t="inlineStr">
        <is>
          <t>S&amp;M</t>
        </is>
      </c>
      <c r="B9" s="20" t="n">
        <v>1233.2</v>
      </c>
      <c r="C9" s="20" t="n">
        <v>1462</v>
      </c>
      <c r="D9" s="20" t="n">
        <v>1842</v>
      </c>
      <c r="E9" s="20" t="n">
        <v>2139</v>
      </c>
      <c r="F9" s="20" t="n">
        <v>2432</v>
      </c>
      <c r="G9" s="20" t="n">
        <v>2616</v>
      </c>
    </row>
    <row r="10">
      <c r="A10" s="19" t="inlineStr">
        <is>
          <t>G&amp;A</t>
        </is>
      </c>
      <c r="B10" s="20" t="n">
        <v>414.1</v>
      </c>
      <c r="C10" s="20" t="n">
        <v>486</v>
      </c>
      <c r="D10" s="20" t="n">
        <v>599</v>
      </c>
      <c r="E10" s="20" t="n">
        <v>702</v>
      </c>
      <c r="F10" s="20" t="n">
        <v>820</v>
      </c>
      <c r="G10" s="20" t="n">
        <v>912</v>
      </c>
    </row>
    <row r="11">
      <c r="A11" s="21" t="inlineStr">
        <is>
          <t>Operating income</t>
        </is>
      </c>
      <c r="B11" s="22" t="n">
        <v>-248.6</v>
      </c>
      <c r="C11" s="22" t="n">
        <v>-116</v>
      </c>
      <c r="D11" s="22" t="n">
        <v>-222</v>
      </c>
      <c r="E11" s="22" t="n">
        <v>183</v>
      </c>
      <c r="F11" s="22" t="n">
        <v>415</v>
      </c>
      <c r="G11" s="22" t="n">
        <v>721</v>
      </c>
    </row>
    <row r="12">
      <c r="A12" s="19" t="inlineStr">
        <is>
          <t>Net income (GAAP)</t>
        </is>
      </c>
      <c r="B12" s="20" t="n">
        <v>-282.4</v>
      </c>
      <c r="C12" s="20" t="n">
        <v>29</v>
      </c>
      <c r="D12" s="20" t="n">
        <v>-367</v>
      </c>
      <c r="E12" s="20" t="n">
        <v>1381</v>
      </c>
      <c r="F12" s="20" t="n">
        <v>526</v>
      </c>
      <c r="G12" s="20" t="n">
        <v>693</v>
      </c>
    </row>
    <row r="14">
      <c r="A14" s="3" t="inlineStr">
        <is>
          <t>Cash Flow</t>
        </is>
      </c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inlineStr">
        <is>
          <t>Cash from operations</t>
        </is>
      </c>
      <c r="B15" s="20" t="n">
        <v>1268.4</v>
      </c>
      <c r="C15" s="20" t="n">
        <v>1651</v>
      </c>
      <c r="D15" s="20" t="n">
        <v>1657</v>
      </c>
      <c r="E15" s="20" t="n">
        <v>2149</v>
      </c>
      <c r="F15" s="20" t="n">
        <v>2461</v>
      </c>
      <c r="G15" s="20" t="n">
        <v>2939</v>
      </c>
    </row>
    <row r="16">
      <c r="A16" s="19" t="inlineStr">
        <is>
          <t>Capex</t>
        </is>
      </c>
      <c r="B16" s="20" t="n"/>
      <c r="C16" s="20" t="n"/>
      <c r="D16" s="20" t="n">
        <v>364</v>
      </c>
      <c r="E16" s="20" t="n">
        <v>232</v>
      </c>
      <c r="F16" s="20" t="n">
        <v>269</v>
      </c>
      <c r="G16" s="20" t="n">
        <v>162</v>
      </c>
    </row>
    <row r="17">
      <c r="A17" s="21" t="inlineStr">
        <is>
          <t>Free cash flow</t>
        </is>
      </c>
      <c r="B17" s="22" t="n">
        <v>1268.4</v>
      </c>
      <c r="C17" s="22" t="n">
        <v>1651</v>
      </c>
      <c r="D17" s="22" t="n">
        <v>1293</v>
      </c>
      <c r="E17" s="22" t="n">
        <v>1917</v>
      </c>
      <c r="F17" s="22" t="n">
        <v>2192</v>
      </c>
      <c r="G17" s="22" t="n">
        <v>2777</v>
      </c>
    </row>
    <row r="18">
      <c r="A18" s="19" t="inlineStr">
        <is>
          <t>SBC (memo)</t>
        </is>
      </c>
      <c r="B18" s="20" t="n">
        <v>1004.9</v>
      </c>
      <c r="C18" s="20" t="n">
        <v>1101</v>
      </c>
      <c r="D18" s="20" t="n">
        <v>1295</v>
      </c>
      <c r="E18" s="20" t="n">
        <v>1416</v>
      </c>
      <c r="F18" s="20" t="n">
        <v>1519</v>
      </c>
      <c r="G18" s="20" t="n">
        <v>1626</v>
      </c>
    </row>
    <row r="19">
      <c r="A19" s="21" t="inlineStr">
        <is>
          <t>FCF − SBC</t>
        </is>
      </c>
      <c r="B19" s="22" t="n">
        <v>263.5</v>
      </c>
      <c r="C19" s="22" t="n">
        <v>550</v>
      </c>
      <c r="D19" s="22" t="n">
        <v>-2</v>
      </c>
      <c r="E19" s="22" t="n">
        <v>501</v>
      </c>
      <c r="F19" s="22" t="n">
        <v>673</v>
      </c>
      <c r="G19" s="22" t="n">
        <v>1151</v>
      </c>
    </row>
    <row r="20">
      <c r="A20" s="19" t="inlineStr">
        <is>
          <t>Diluted shares (M)</t>
        </is>
      </c>
      <c r="B20" s="13" t="n">
        <v>237</v>
      </c>
      <c r="C20" s="13" t="n">
        <v>254</v>
      </c>
      <c r="D20" s="13" t="n">
        <v>254.8</v>
      </c>
      <c r="E20" s="13" t="n">
        <v>265.3</v>
      </c>
      <c r="F20" s="13" t="n">
        <v>269.2</v>
      </c>
      <c r="G20" s="13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$5,629  |  Financials $2,804  |  AI ARR $400  |  Services $719  |  Total $9,552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  <c r="G5" s="18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t="inlineStr">
        <is>
          <t>HCM ARR</t>
        </is>
      </c>
      <c r="B7" s="13">
        <f>Assumptions!C70*Assumptions!C74*12</f>
        <v/>
      </c>
      <c r="C7" s="13">
        <f>Assumptions!D70*Assumptions!D74*12</f>
        <v/>
      </c>
      <c r="D7" s="13">
        <f>Assumptions!E70*Assumptions!E74*12</f>
        <v/>
      </c>
      <c r="E7" s="13">
        <f>Assumptions!F70*Assumptions!F74*12</f>
        <v/>
      </c>
    </row>
    <row r="8">
      <c r="A8" t="inlineStr">
        <is>
          <t>Financials ARR</t>
        </is>
      </c>
      <c r="B8" s="13">
        <f>Assumptions!C82*Assumptions!C86/1000</f>
        <v/>
      </c>
      <c r="C8" s="13">
        <f>Assumptions!D82*Assumptions!D86/1000</f>
        <v/>
      </c>
      <c r="D8" s="13">
        <f>Assumptions!E82*Assumptions!E86/1000</f>
        <v/>
      </c>
      <c r="E8" s="13">
        <f>Assumptions!F82*Assumptions!F86/1000</f>
        <v/>
      </c>
    </row>
    <row r="9">
      <c r="A9" s="19" t="inlineStr">
        <is>
          <t>AI ARR booked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AI deferred balance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Services</t>
        </is>
      </c>
      <c r="B12" s="13" t="n">
        <v>712</v>
      </c>
      <c r="C12" s="13" t="n">
        <v>698</v>
      </c>
      <c r="D12" s="13" t="n">
        <v>698</v>
      </c>
      <c r="E12" s="13" t="n">
        <v>712</v>
      </c>
    </row>
    <row r="13">
      <c r="A13" s="2" t="inlineStr">
        <is>
          <t>Total revenue</t>
        </is>
      </c>
      <c r="B13" s="12">
        <f>B7+B8+B10+B12</f>
        <v/>
      </c>
      <c r="C13" s="12">
        <f>C7+C8+C10+C12</f>
        <v/>
      </c>
      <c r="D13" s="12">
        <f>D7+D8+D10+D12</f>
        <v/>
      </c>
      <c r="E13" s="12">
        <f>E7+E8+E10+E12</f>
        <v/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0.7459</v>
      </c>
      <c r="C18" s="10" t="n">
        <v>0.7498</v>
      </c>
      <c r="D18" s="10" t="n">
        <v>0.7556</v>
      </c>
      <c r="E18" s="10" t="n">
        <v>0.7655999999999999</v>
      </c>
    </row>
    <row r="19">
      <c r="A19" s="19" t="inlineStr">
        <is>
          <t>GP HCM ARR</t>
        </is>
      </c>
      <c r="B19" s="20" t="n">
        <v>4981</v>
      </c>
      <c r="C19" s="20" t="n">
        <v>5354</v>
      </c>
      <c r="D19" s="20" t="n">
        <v>5815</v>
      </c>
      <c r="E19" s="20" t="n">
        <v>6292</v>
      </c>
    </row>
    <row r="20">
      <c r="A20" s="19" t="inlineStr">
        <is>
          <t>GP Financials</t>
        </is>
      </c>
      <c r="B20" s="20" t="n">
        <v>2688</v>
      </c>
      <c r="C20" s="20" t="n">
        <v>3280</v>
      </c>
      <c r="D20" s="20" t="n">
        <v>3961</v>
      </c>
      <c r="E20" s="20" t="n">
        <v>4711</v>
      </c>
    </row>
    <row r="21">
      <c r="A21" s="19" t="inlineStr">
        <is>
          <t>GP AI ARR</t>
        </is>
      </c>
      <c r="B21" s="20" t="n">
        <v>280</v>
      </c>
      <c r="C21" s="20" t="n">
        <v>660</v>
      </c>
      <c r="D21" s="20" t="n">
        <v>1286</v>
      </c>
      <c r="E21" s="20" t="n">
        <v>2049</v>
      </c>
    </row>
    <row r="22">
      <c r="A22" s="19" t="inlineStr">
        <is>
          <t>GP Services</t>
        </is>
      </c>
      <c r="B22" s="20" t="n">
        <v>-71</v>
      </c>
      <c r="C22" s="20" t="n">
        <v>-56</v>
      </c>
      <c r="D22" s="20" t="n">
        <v>-35</v>
      </c>
      <c r="E22" s="20" t="n">
        <v>-14</v>
      </c>
    </row>
    <row r="23">
      <c r="A23" s="2" t="inlineStr">
        <is>
          <t>Total GP</t>
        </is>
      </c>
      <c r="B23" s="22" t="n">
        <v>7878</v>
      </c>
      <c r="C23" s="22" t="n">
        <v>9239</v>
      </c>
      <c r="D23" s="22" t="n">
        <v>11026</v>
      </c>
      <c r="E23" s="22" t="n">
        <v>13038</v>
      </c>
    </row>
    <row r="25">
      <c r="A25" s="3" t="inlineStr">
        <is>
          <t>Runs For Cash</t>
        </is>
      </c>
      <c r="B25" s="18" t="n"/>
      <c r="C25" s="18" t="n"/>
      <c r="D25" s="18" t="n"/>
      <c r="E25" s="18" t="n"/>
      <c r="F25" s="18" t="n"/>
      <c r="G25" s="18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t="inlineStr">
        <is>
          <t>HCM ARR</t>
        </is>
      </c>
      <c r="B27" s="13">
        <f>Assumptions!C71*Assumptions!C75*12</f>
        <v/>
      </c>
      <c r="C27" s="13">
        <f>Assumptions!D71*Assumptions!D75*12</f>
        <v/>
      </c>
      <c r="D27" s="13">
        <f>Assumptions!E71*Assumptions!E75*12</f>
        <v/>
      </c>
      <c r="E27" s="13">
        <f>Assumptions!F71*Assumptions!F75*12</f>
        <v/>
      </c>
    </row>
    <row r="28">
      <c r="A28" t="inlineStr">
        <is>
          <t>Financials ARR</t>
        </is>
      </c>
      <c r="B28" s="13">
        <f>Assumptions!C83*Assumptions!C87/1000</f>
        <v/>
      </c>
      <c r="C28" s="13">
        <f>Assumptions!D83*Assumptions!D87/1000</f>
        <v/>
      </c>
      <c r="D28" s="13">
        <f>Assumptions!E83*Assumptions!E87/1000</f>
        <v/>
      </c>
      <c r="E28" s="13">
        <f>Assumptions!F83*Assumptions!F87/1000</f>
        <v/>
      </c>
    </row>
    <row r="29">
      <c r="A29" s="19" t="inlineStr">
        <is>
          <t>AI ARR booked</t>
        </is>
      </c>
      <c r="B29" s="13" t="n">
        <v>520</v>
      </c>
      <c r="C29" s="13" t="n">
        <v>598</v>
      </c>
      <c r="D29" s="13" t="n">
        <v>628</v>
      </c>
      <c r="E29" s="13" t="n">
        <v>628</v>
      </c>
    </row>
    <row r="30">
      <c r="A30" s="2" t="inlineStr">
        <is>
          <t>AI ARR recognized</t>
        </is>
      </c>
      <c r="B30" s="12" t="n">
        <v>416</v>
      </c>
      <c r="C30" s="12" t="n">
        <v>560</v>
      </c>
      <c r="D30" s="12" t="n">
        <v>662</v>
      </c>
      <c r="E30" s="12" t="n">
        <v>641</v>
      </c>
    </row>
    <row r="31">
      <c r="A31" s="19" t="inlineStr">
        <is>
          <t>AI deferred balance</t>
        </is>
      </c>
      <c r="B31" s="20" t="n">
        <v>104</v>
      </c>
      <c r="C31" s="20" t="n">
        <v>142</v>
      </c>
      <c r="D31" s="20" t="n">
        <v>108</v>
      </c>
      <c r="E31" s="20" t="n">
        <v>94</v>
      </c>
    </row>
    <row r="32">
      <c r="A32" s="19" t="inlineStr">
        <is>
          <t>Services</t>
        </is>
      </c>
      <c r="B32" s="13" t="n">
        <v>697</v>
      </c>
      <c r="C32" s="13" t="n">
        <v>628</v>
      </c>
      <c r="D32" s="13" t="n">
        <v>552</v>
      </c>
      <c r="E32" s="13" t="n">
        <v>486</v>
      </c>
    </row>
    <row r="33">
      <c r="A33" s="2" t="inlineStr">
        <is>
          <t>Total revenue</t>
        </is>
      </c>
      <c r="B33" s="12">
        <f>B27+B28+B30+B32</f>
        <v/>
      </c>
      <c r="C33" s="12">
        <f>C27+C28+C30+C32</f>
        <v/>
      </c>
      <c r="D33" s="12">
        <f>D27+D28+D30+D32</f>
        <v/>
      </c>
      <c r="E33" s="12">
        <f>E27+E28+E30+E32</f>
        <v/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0.745</v>
      </c>
      <c r="C38" s="10" t="n">
        <v>0.745</v>
      </c>
      <c r="D38" s="10" t="n">
        <v>0.7449</v>
      </c>
      <c r="E38" s="10" t="n">
        <v>0.7475000000000001</v>
      </c>
    </row>
    <row r="39">
      <c r="A39" s="19" t="inlineStr">
        <is>
          <t>GP HCM ARR</t>
        </is>
      </c>
      <c r="B39" s="20" t="n">
        <v>4928</v>
      </c>
      <c r="C39" s="20" t="n">
        <v>4757</v>
      </c>
      <c r="D39" s="20" t="n">
        <v>4511</v>
      </c>
      <c r="E39" s="20" t="n">
        <v>4234</v>
      </c>
    </row>
    <row r="40">
      <c r="A40" s="19" t="inlineStr">
        <is>
          <t>GP Financials</t>
        </is>
      </c>
      <c r="B40" s="20" t="n">
        <v>2250</v>
      </c>
      <c r="C40" s="20" t="n">
        <v>2123</v>
      </c>
      <c r="D40" s="20" t="n">
        <v>1834</v>
      </c>
      <c r="E40" s="20" t="n">
        <v>1616</v>
      </c>
    </row>
    <row r="41">
      <c r="A41" s="19" t="inlineStr">
        <is>
          <t>GP AI ARR</t>
        </is>
      </c>
      <c r="B41" s="20" t="n">
        <v>187</v>
      </c>
      <c r="C41" s="20" t="n">
        <v>252</v>
      </c>
      <c r="D41" s="20" t="n">
        <v>298</v>
      </c>
      <c r="E41" s="20" t="n">
        <v>289</v>
      </c>
    </row>
    <row r="42">
      <c r="A42" s="19" t="inlineStr">
        <is>
          <t>GP Services</t>
        </is>
      </c>
      <c r="B42" s="20" t="n">
        <v>-70</v>
      </c>
      <c r="C42" s="20" t="n">
        <v>-75</v>
      </c>
      <c r="D42" s="20" t="n">
        <v>-72</v>
      </c>
      <c r="E42" s="20" t="n">
        <v>-73</v>
      </c>
    </row>
    <row r="43">
      <c r="A43" s="2" t="inlineStr">
        <is>
          <t>Total GP</t>
        </is>
      </c>
      <c r="B43" s="22" t="n">
        <v>7296</v>
      </c>
      <c r="C43" s="22" t="n">
        <v>7057</v>
      </c>
      <c r="D43" s="22" t="n">
        <v>6571</v>
      </c>
      <c r="E43" s="22" t="n">
        <v>6066</v>
      </c>
    </row>
    <row r="45">
      <c r="A45" s="3" t="inlineStr">
        <is>
          <t>What Goes Wrong</t>
        </is>
      </c>
      <c r="B45" s="18" t="n"/>
      <c r="C45" s="18" t="n"/>
      <c r="D45" s="18" t="n"/>
      <c r="E45" s="18" t="n"/>
      <c r="F45" s="18" t="n"/>
      <c r="G45" s="18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t="inlineStr">
        <is>
          <t>HCM ARR</t>
        </is>
      </c>
      <c r="B47" s="13">
        <f>Assumptions!C72*Assumptions!C76*12</f>
        <v/>
      </c>
      <c r="C47" s="13">
        <f>Assumptions!D72*Assumptions!D76*12</f>
        <v/>
      </c>
      <c r="D47" s="13">
        <f>Assumptions!E72*Assumptions!E76*12</f>
        <v/>
      </c>
      <c r="E47" s="13">
        <f>Assumptions!F72*Assumptions!F76*12</f>
        <v/>
      </c>
    </row>
    <row r="48">
      <c r="A48" t="inlineStr">
        <is>
          <t>Financials ARR</t>
        </is>
      </c>
      <c r="B48" s="13">
        <f>Assumptions!C84*Assumptions!C88/1000</f>
        <v/>
      </c>
      <c r="C48" s="13">
        <f>Assumptions!D84*Assumptions!D88/1000</f>
        <v/>
      </c>
      <c r="D48" s="13">
        <f>Assumptions!E84*Assumptions!E88/1000</f>
        <v/>
      </c>
      <c r="E48" s="13">
        <f>Assumptions!F84*Assumptions!F88/1000</f>
        <v/>
      </c>
    </row>
    <row r="49">
      <c r="A49" s="19" t="inlineStr">
        <is>
          <t>AI ARR booked</t>
        </is>
      </c>
      <c r="B49" s="13" t="n">
        <v>480</v>
      </c>
      <c r="C49" s="13" t="n">
        <v>528</v>
      </c>
      <c r="D49" s="13" t="n">
        <v>554</v>
      </c>
      <c r="E49" s="13" t="n">
        <v>554</v>
      </c>
    </row>
    <row r="50">
      <c r="A50" s="2" t="inlineStr">
        <is>
          <t>AI ARR recognized</t>
        </is>
      </c>
      <c r="B50" s="12" t="n">
        <v>408</v>
      </c>
      <c r="C50" s="12" t="n">
        <v>511</v>
      </c>
      <c r="D50" s="12" t="n">
        <v>589</v>
      </c>
      <c r="E50" s="12" t="n">
        <v>567</v>
      </c>
    </row>
    <row r="51">
      <c r="A51" s="19" t="inlineStr">
        <is>
          <t>AI deferred balance</t>
        </is>
      </c>
      <c r="B51" s="20" t="n">
        <v>72</v>
      </c>
      <c r="C51" s="20" t="n">
        <v>89</v>
      </c>
      <c r="D51" s="20" t="n">
        <v>54</v>
      </c>
      <c r="E51" s="20" t="n">
        <v>42</v>
      </c>
    </row>
    <row r="52">
      <c r="A52" s="19" t="inlineStr">
        <is>
          <t>Services</t>
        </is>
      </c>
      <c r="B52" s="13" t="n">
        <v>647</v>
      </c>
      <c r="C52" s="13" t="n">
        <v>550</v>
      </c>
      <c r="D52" s="13" t="n">
        <v>468</v>
      </c>
      <c r="E52" s="13" t="n">
        <v>411</v>
      </c>
    </row>
    <row r="53">
      <c r="A53" s="2" t="inlineStr">
        <is>
          <t>Total revenue</t>
        </is>
      </c>
      <c r="B53" s="12">
        <f>B47+B48+B50+B52</f>
        <v/>
      </c>
      <c r="C53" s="12">
        <f>C47+C48+C50+C52</f>
        <v/>
      </c>
      <c r="D53" s="12">
        <f>D47+D48+D50+D52</f>
        <v/>
      </c>
      <c r="E53" s="12">
        <f>E47+E48+E50+E52</f>
        <v/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0.7444</v>
      </c>
      <c r="C58" s="10" t="n">
        <v>0.7438</v>
      </c>
      <c r="D58" s="10" t="n">
        <v>0.7419</v>
      </c>
      <c r="E58" s="10" t="n">
        <v>0.7422</v>
      </c>
    </row>
    <row r="59">
      <c r="A59" s="19" t="inlineStr">
        <is>
          <t>GP HCM ARR</t>
        </is>
      </c>
      <c r="B59" s="20" t="n">
        <v>4748</v>
      </c>
      <c r="C59" s="20" t="n">
        <v>4395</v>
      </c>
      <c r="D59" s="20" t="n">
        <v>4028</v>
      </c>
      <c r="E59" s="20" t="n">
        <v>3676</v>
      </c>
    </row>
    <row r="60">
      <c r="A60" s="19" t="inlineStr">
        <is>
          <t>GP Financials</t>
        </is>
      </c>
      <c r="B60" s="20" t="n">
        <v>2112</v>
      </c>
      <c r="C60" s="20" t="n">
        <v>1871</v>
      </c>
      <c r="D60" s="20" t="n">
        <v>1599</v>
      </c>
      <c r="E60" s="20" t="n">
        <v>1374</v>
      </c>
    </row>
    <row r="61">
      <c r="A61" s="19" t="inlineStr">
        <is>
          <t>GP AI ARR</t>
        </is>
      </c>
      <c r="B61" s="20" t="n">
        <v>163</v>
      </c>
      <c r="C61" s="20" t="n">
        <v>204</v>
      </c>
      <c r="D61" s="20" t="n">
        <v>236</v>
      </c>
      <c r="E61" s="20" t="n">
        <v>227</v>
      </c>
    </row>
    <row r="62">
      <c r="A62" s="19" t="inlineStr">
        <is>
          <t>GP Services</t>
        </is>
      </c>
      <c r="B62" s="20" t="n">
        <v>-65</v>
      </c>
      <c r="C62" s="20" t="n">
        <v>-72</v>
      </c>
      <c r="D62" s="20" t="n">
        <v>-75</v>
      </c>
      <c r="E62" s="20" t="n">
        <v>-74</v>
      </c>
    </row>
    <row r="63">
      <c r="A63" s="2" t="inlineStr">
        <is>
          <t>Total GP</t>
        </is>
      </c>
      <c r="B63" s="22" t="n">
        <v>6958</v>
      </c>
      <c r="C63" s="22" t="n">
        <v>6399</v>
      </c>
      <c r="D63" s="22" t="n">
        <v>5788</v>
      </c>
      <c r="E63" s="22" t="n">
        <v>5203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Assumptions!C70</f>
        <v/>
      </c>
      <c r="I6" s="29">
        <f>Assumptions!D70</f>
        <v/>
      </c>
      <c r="J6" s="29">
        <f>Assumptions!E70</f>
        <v/>
      </c>
      <c r="K6" s="29">
        <f>Assumptions!F70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Assumptions!C74</f>
        <v/>
      </c>
      <c r="I7" s="30">
        <f>Assumptions!D74</f>
        <v/>
      </c>
      <c r="J7" s="30">
        <f>Assumptions!E74</f>
        <v/>
      </c>
      <c r="K7" s="30">
        <f>Assumptions!F74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Assumptions!C82</f>
        <v/>
      </c>
      <c r="I9" s="31">
        <f>Assumptions!D82</f>
        <v/>
      </c>
      <c r="J9" s="31">
        <f>Assumptions!E82</f>
        <v/>
      </c>
      <c r="K9" s="31">
        <f>Assumptions!F82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Assumptions!C86</f>
        <v/>
      </c>
      <c r="I10" s="32">
        <f>Assumptions!D86</f>
        <v/>
      </c>
      <c r="J10" s="32">
        <f>Assumptions!E86</f>
        <v/>
      </c>
      <c r="K10" s="32">
        <f>Assumptions!F86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Revenue_Build!B9</f>
        <v/>
      </c>
      <c r="I12" s="31">
        <f>Revenue_Build!C9</f>
        <v/>
      </c>
      <c r="J12" s="31">
        <f>Revenue_Build!D9</f>
        <v/>
      </c>
      <c r="K12" s="31">
        <f>Revenue_Build!E9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Revenue_Build!B10</f>
        <v/>
      </c>
      <c r="I13" s="31">
        <f>Revenue_Build!C10</f>
        <v/>
      </c>
      <c r="J13" s="31">
        <f>Revenue_Build!D10</f>
        <v/>
      </c>
      <c r="K13" s="31">
        <f>Revenue_Build!E10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Revenue_Build!B12</f>
        <v/>
      </c>
      <c r="I14" s="31">
        <f>Revenue_Build!C12</f>
        <v/>
      </c>
      <c r="J14" s="31">
        <f>Revenue_Build!D12</f>
        <v/>
      </c>
      <c r="K14" s="31">
        <f>Revenue_Build!E12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Assumptions!C11</f>
        <v/>
      </c>
      <c r="I18" s="33">
        <f>Assumptions!D11</f>
        <v/>
      </c>
      <c r="J18" s="33">
        <f>Assumptions!E11</f>
        <v/>
      </c>
      <c r="K18" s="33">
        <f>Assumptions!F11</f>
        <v/>
      </c>
    </row>
    <row r="19">
      <c r="A19" t="inlineStr">
        <is>
          <t>Backlog growth %</t>
        </is>
      </c>
      <c r="H19" s="33">
        <f>Assumptions!C15</f>
        <v/>
      </c>
      <c r="I19" s="33">
        <f>Assumptions!D15</f>
        <v/>
      </c>
      <c r="J19" s="33">
        <f>Assumptions!E15</f>
        <v/>
      </c>
      <c r="K19" s="33">
        <f>Assumptions!F15</f>
        <v/>
      </c>
    </row>
    <row r="20">
      <c r="A20" t="inlineStr">
        <is>
          <t>Cost of rev (% rev)</t>
        </is>
      </c>
      <c r="H20" s="33">
        <f>Assumptions!C19</f>
        <v/>
      </c>
      <c r="I20" s="33">
        <f>Assumptions!D19</f>
        <v/>
      </c>
      <c r="J20" s="33">
        <f>Assumptions!E19</f>
        <v/>
      </c>
      <c r="K20" s="33">
        <f>Assumptions!F19</f>
        <v/>
      </c>
    </row>
    <row r="21">
      <c r="A21" t="inlineStr">
        <is>
          <t>R&amp;D (% rev)</t>
        </is>
      </c>
      <c r="H21" s="33">
        <f>Assumptions!C23</f>
        <v/>
      </c>
      <c r="I21" s="33">
        <f>Assumptions!D23</f>
        <v/>
      </c>
      <c r="J21" s="33">
        <f>Assumptions!E23</f>
        <v/>
      </c>
      <c r="K21" s="33">
        <f>Assumptions!F23</f>
        <v/>
      </c>
    </row>
    <row r="22">
      <c r="A22" t="inlineStr">
        <is>
          <t>S&amp;M (% rev)</t>
        </is>
      </c>
      <c r="H22" s="33">
        <f>Assumptions!C27</f>
        <v/>
      </c>
      <c r="I22" s="33">
        <f>Assumptions!D27</f>
        <v/>
      </c>
      <c r="J22" s="33">
        <f>Assumptions!E27</f>
        <v/>
      </c>
      <c r="K22" s="33">
        <f>Assumptions!F27</f>
        <v/>
      </c>
    </row>
    <row r="23">
      <c r="A23" t="inlineStr">
        <is>
          <t>G&amp;A (% rev)</t>
        </is>
      </c>
      <c r="H23" s="33">
        <f>Assumptions!C31</f>
        <v/>
      </c>
      <c r="I23" s="33">
        <f>Assumptions!D31</f>
        <v/>
      </c>
      <c r="J23" s="33">
        <f>Assumptions!E31</f>
        <v/>
      </c>
      <c r="K23" s="33">
        <f>Assumptions!F31</f>
        <v/>
      </c>
    </row>
    <row r="24">
      <c r="A24" t="inlineStr">
        <is>
          <t>SBC (% rev)</t>
        </is>
      </c>
      <c r="H24" s="33">
        <f>Assumptions!C35</f>
        <v/>
      </c>
      <c r="I24" s="33">
        <f>Assumptions!D35</f>
        <v/>
      </c>
      <c r="J24" s="33">
        <f>Assumptions!E35</f>
        <v/>
      </c>
      <c r="K24" s="33">
        <f>Assumptions!F35</f>
        <v/>
      </c>
    </row>
    <row r="25">
      <c r="A25" t="inlineStr">
        <is>
          <t>CFO margin</t>
        </is>
      </c>
      <c r="H25" s="33">
        <f>Assumptions!C39</f>
        <v/>
      </c>
      <c r="I25" s="33">
        <f>Assumptions!D39</f>
        <v/>
      </c>
      <c r="J25" s="33">
        <f>Assumptions!E39</f>
        <v/>
      </c>
      <c r="K25" s="33">
        <f>Assumptions!F39</f>
        <v/>
      </c>
    </row>
    <row r="26">
      <c r="A26" t="inlineStr">
        <is>
          <t>Buyback (%/yr)</t>
        </is>
      </c>
      <c r="H26" s="33">
        <f>Assumptions!C43</f>
        <v/>
      </c>
      <c r="I26" s="33">
        <f>Assumptions!D43</f>
        <v/>
      </c>
      <c r="J26" s="33">
        <f>Assumptions!E43</f>
        <v/>
      </c>
      <c r="K26" s="33">
        <f>Assumptions!F43</f>
        <v/>
      </c>
    </row>
    <row r="28">
      <c r="A28" s="3" t="inlineStr">
        <is>
          <t>Income Statement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4">
        <f>H29*Assumptions!C19</f>
        <v/>
      </c>
      <c r="I30" s="34">
        <f>I29*Assumptions!D19</f>
        <v/>
      </c>
      <c r="J30" s="34">
        <f>J29*Assumptions!E19</f>
        <v/>
      </c>
      <c r="K30" s="34">
        <f>K29*Assumptions!F19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4">
        <f>H29*Assumptions!C23</f>
        <v/>
      </c>
      <c r="I32" s="34">
        <f>I29*Assumptions!D23</f>
        <v/>
      </c>
      <c r="J32" s="34">
        <f>J29*Assumptions!E23</f>
        <v/>
      </c>
      <c r="K32" s="34">
        <f>K29*Assumptions!F23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4">
        <f>H29*Assumptions!C27</f>
        <v/>
      </c>
      <c r="I33" s="34">
        <f>I29*Assumptions!D27</f>
        <v/>
      </c>
      <c r="J33" s="34">
        <f>J29*Assumptions!E27</f>
        <v/>
      </c>
      <c r="K33" s="34">
        <f>K29*Assumptions!F27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4">
        <f>H29*Assumptions!C31</f>
        <v/>
      </c>
      <c r="I34" s="34">
        <f>I29*Assumptions!D31</f>
        <v/>
      </c>
      <c r="J34" s="34">
        <f>J29*Assumptions!E31</f>
        <v/>
      </c>
      <c r="K34" s="34">
        <f>K29*Assumptions!F31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4">
        <f>H31-H32-H33-H34-280</f>
        <v/>
      </c>
      <c r="I35" s="34">
        <f>I31-I32-I33-I34-300</f>
        <v/>
      </c>
      <c r="J35" s="34">
        <f>J31-J32-J33-J34-320</f>
        <v/>
      </c>
      <c r="K35" s="34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5">
        <f>IFERROR(F36-B36, "")</f>
        <v/>
      </c>
      <c r="N36" s="35">
        <f>IFERROR(K36-G36, "")</f>
        <v/>
      </c>
    </row>
    <row r="37">
      <c r="A37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Cash Flow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t="inlineStr">
        <is>
          <t>Cash from operations</t>
        </is>
      </c>
      <c r="B40" s="13" t="n">
        <v>1268.4</v>
      </c>
      <c r="C40" s="13" t="n">
        <v>1651</v>
      </c>
      <c r="D40" s="13" t="n">
        <v>1657</v>
      </c>
      <c r="E40" s="13" t="n">
        <v>2149</v>
      </c>
      <c r="F40" s="13" t="n">
        <v>2461</v>
      </c>
      <c r="G40" s="13" t="n">
        <v>2939</v>
      </c>
      <c r="H40" s="31">
        <f>H29*Assumptions!C39</f>
        <v/>
      </c>
      <c r="I40" s="31">
        <f>I29*Assumptions!D39</f>
        <v/>
      </c>
      <c r="J40" s="31">
        <f>J29*Assumptions!E39</f>
        <v/>
      </c>
      <c r="K40" s="31">
        <f>K29*Assumptions!F39</f>
        <v/>
      </c>
      <c r="M40" s="10">
        <f>IFERROR(IF(OR(B40&lt;=0,F40&lt;=0),"N/M",(F40/B40)^(1/4)-1), "N/M")</f>
        <v/>
      </c>
      <c r="N40" s="10">
        <f>IFERROR(IF(OR(G40&lt;=0,K40&lt;=0),"N/M",(K40/G40)^(1/4)-1), "N/M")</f>
        <v/>
      </c>
    </row>
    <row r="41">
      <c r="A41" t="inlineStr">
        <is>
          <t>Capex (~2% rev)</t>
        </is>
      </c>
      <c r="B41" s="20" t="n"/>
      <c r="C41" s="20" t="n"/>
      <c r="D41" s="20" t="n">
        <v>364</v>
      </c>
      <c r="E41" s="20" t="n">
        <v>232</v>
      </c>
      <c r="F41" s="20" t="n">
        <v>269</v>
      </c>
      <c r="G41" s="20" t="n">
        <v>162</v>
      </c>
      <c r="H41" s="34">
        <f>H29*0.02</f>
        <v/>
      </c>
      <c r="I41" s="34">
        <f>I29*0.02</f>
        <v/>
      </c>
      <c r="J41" s="34">
        <f>J29*0.02</f>
        <v/>
      </c>
      <c r="K41" s="34">
        <f>K29*0.02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Free cash flow</t>
        </is>
      </c>
      <c r="B42" s="12">
        <f>IFERROR(B40-B41,B40)</f>
        <v/>
      </c>
      <c r="C42" s="12">
        <f>IFERROR(C40-C41,C40)</f>
        <v/>
      </c>
      <c r="D42" s="12">
        <f>IFERROR(D40-D41,D40)</f>
        <v/>
      </c>
      <c r="E42" s="12">
        <f>IFERROR(E40-E41,E40)</f>
        <v/>
      </c>
      <c r="F42" s="12">
        <f>IFERROR(F40-F41,F40)</f>
        <v/>
      </c>
      <c r="G42" s="12">
        <f>IFERROR(G40-G41,G40)</f>
        <v/>
      </c>
      <c r="H42" s="31">
        <f>IFERROR(H40-H41,H40)</f>
        <v/>
      </c>
      <c r="I42" s="31">
        <f>IFERROR(I40-I41,I40)</f>
        <v/>
      </c>
      <c r="J42" s="31">
        <f>IFERROR(J40-J41,J40)</f>
        <v/>
      </c>
      <c r="K42" s="31">
        <f>IFERROR(K40-K41,K40)</f>
        <v/>
      </c>
      <c r="M42" s="10">
        <f>IFERROR(IF(OR(B42&lt;=0,F42&lt;=0),"N/M",(F42/B42)^(1/4)-1), "N/M")</f>
        <v/>
      </c>
      <c r="N42" s="10">
        <f>IFERROR(IF(OR(G42&lt;=0,K42&lt;=0),"N/M",(K42/G42)^(1/4)-1), "N/M")</f>
        <v/>
      </c>
    </row>
    <row r="43">
      <c r="A43" t="inlineStr">
        <is>
          <t>SBC</t>
        </is>
      </c>
      <c r="B43" s="20" t="n">
        <v>1004.9</v>
      </c>
      <c r="C43" s="20" t="n">
        <v>1101</v>
      </c>
      <c r="D43" s="20" t="n">
        <v>1295</v>
      </c>
      <c r="E43" s="20" t="n">
        <v>1416</v>
      </c>
      <c r="F43" s="20" t="n">
        <v>1519</v>
      </c>
      <c r="G43" s="20" t="n">
        <v>1626</v>
      </c>
      <c r="H43" s="34">
        <f>H29*Assumptions!C35</f>
        <v/>
      </c>
      <c r="I43" s="34">
        <f>I29*Assumptions!D35</f>
        <v/>
      </c>
      <c r="J43" s="34">
        <f>J29*Assumptions!E35</f>
        <v/>
      </c>
      <c r="K43" s="34">
        <f>K29*Assumptions!F35</f>
        <v/>
      </c>
      <c r="M43" s="10">
        <f>IFERROR(IF(OR(B43&lt;=0,F43&lt;=0),"N/M",(F43/B43)^(1/4)-1), "N/M")</f>
        <v/>
      </c>
      <c r="N43" s="10">
        <f>IFERROR(IF(OR(G43&lt;=0,K43&lt;=0),"N/M",(K43/G43)^(1/4)-1), "N/M")</f>
        <v/>
      </c>
    </row>
    <row r="44">
      <c r="A44" s="2" t="inlineStr">
        <is>
          <t>FCF − SBC</t>
        </is>
      </c>
      <c r="B44" s="22">
        <f>B42-B43</f>
        <v/>
      </c>
      <c r="C44" s="22">
        <f>C42-C43</f>
        <v/>
      </c>
      <c r="D44" s="22">
        <f>D42-D43</f>
        <v/>
      </c>
      <c r="E44" s="22">
        <f>E42-E43</f>
        <v/>
      </c>
      <c r="F44" s="22">
        <f>F42-F43</f>
        <v/>
      </c>
      <c r="G44" s="22">
        <f>G42-G43</f>
        <v/>
      </c>
      <c r="H44" s="34">
        <f>H42-H43</f>
        <v/>
      </c>
      <c r="I44" s="34">
        <f>I42-I43</f>
        <v/>
      </c>
      <c r="J44" s="34">
        <f>J42-J43</f>
        <v/>
      </c>
      <c r="K44" s="34">
        <f>K42-K43</f>
        <v/>
      </c>
      <c r="M44" s="10">
        <f>IFERROR(IF(OR(B44&lt;=0,F44&lt;=0),"N/M",(F44/B44)^(1/4)-1), "N/M")</f>
        <v/>
      </c>
      <c r="N44" s="10">
        <f>IFERROR(IF(OR(G44&lt;=0,K44&lt;=0),"N/M",(K44/G44)^(1/4)-1), "N/M")</f>
        <v/>
      </c>
    </row>
    <row r="46">
      <c r="A46" s="3" t="inlineStr">
        <is>
          <t>Per-share</t>
        </is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</row>
    <row r="47">
      <c r="A47" t="inlineStr">
        <is>
          <t>Diluted shares (M)</t>
        </is>
      </c>
      <c r="B47" s="11" t="n">
        <v>237</v>
      </c>
      <c r="C47" s="11" t="n">
        <v>254</v>
      </c>
      <c r="D47" s="11" t="n">
        <v>254.8</v>
      </c>
      <c r="E47" s="11" t="n">
        <v>265.3</v>
      </c>
      <c r="F47" s="11" t="n">
        <v>269.2</v>
      </c>
      <c r="G47" s="11" t="n">
        <v>268.1</v>
      </c>
      <c r="H47" s="29">
        <f>G47*(1-Assumptions!C43)</f>
        <v/>
      </c>
      <c r="I47" s="29">
        <f>H47*(1-Assumptions!D43)</f>
        <v/>
      </c>
      <c r="J47" s="29">
        <f>I47*(1-Assumptions!E43)</f>
        <v/>
      </c>
      <c r="K47" s="29">
        <f>J47*(1-Assumptions!F43)</f>
        <v/>
      </c>
      <c r="M47" s="10">
        <f>IFERROR(IF(OR(B47&lt;=0,F47&lt;=0),"N/M",(F47/B47)^(1/4)-1), "N/M")</f>
        <v/>
      </c>
      <c r="N47" s="10">
        <f>IFERROR(IF(OR(G47&lt;=0,K47&lt;=0),"N/M",(K47/G47)^(1/4)-1), "N/M")</f>
        <v/>
      </c>
    </row>
    <row r="48">
      <c r="A48" t="inlineStr">
        <is>
          <t>FCF / share</t>
        </is>
      </c>
      <c r="B48" s="6">
        <f>IFERROR(B42/B47,"")</f>
        <v/>
      </c>
      <c r="C48" s="6">
        <f>IFERROR(C42/C47,"")</f>
        <v/>
      </c>
      <c r="D48" s="6">
        <f>IFERROR(D42/D47,"")</f>
        <v/>
      </c>
      <c r="E48" s="6">
        <f>IFERROR(E42/E47,"")</f>
        <v/>
      </c>
      <c r="F48" s="6">
        <f>IFERROR(F42/F47,"")</f>
        <v/>
      </c>
      <c r="G48" s="6">
        <f>IFERROR(G42/G47,"")</f>
        <v/>
      </c>
      <c r="H48" s="30">
        <f>IFERROR(H42/H47,"")</f>
        <v/>
      </c>
      <c r="I48" s="30">
        <f>IFERROR(I42/I47,"")</f>
        <v/>
      </c>
      <c r="J48" s="30">
        <f>IFERROR(J42/J47,"")</f>
        <v/>
      </c>
      <c r="K48" s="30">
        <f>IFERROR(K42/K47,"")</f>
        <v/>
      </c>
      <c r="M48" s="10">
        <f>IFERROR(IF(OR(B48&lt;=0,F48&lt;=0),"N/M",(F48/B48)^(1/4)-1), "N/M")</f>
        <v/>
      </c>
      <c r="N48" s="10">
        <f>IFERROR(IF(OR(G48&lt;=0,K48&lt;=0),"N/M",(K48/G48)^(1/4)-1), "N/M")</f>
        <v/>
      </c>
    </row>
    <row r="49">
      <c r="A49" t="inlineStr">
        <is>
          <t>12-mo backlog ($M)</t>
        </is>
      </c>
      <c r="E49" s="13" t="n">
        <v>6602</v>
      </c>
      <c r="F49" s="13" t="n">
        <v>7631</v>
      </c>
      <c r="G49" s="13" t="n">
        <v>8833</v>
      </c>
      <c r="H49" s="31">
        <f>G49*(1+Assumptions!C15)</f>
        <v/>
      </c>
      <c r="I49" s="31">
        <f>H49*(1+Assumptions!D15)</f>
        <v/>
      </c>
      <c r="J49" s="31">
        <f>I49*(1+Assumptions!E15)</f>
        <v/>
      </c>
      <c r="K49" s="31">
        <f>J49*(1+Assumptions!F15)</f>
        <v/>
      </c>
      <c r="M49" s="10">
        <f>IFERROR(IF(OR(B49&lt;=0,F49&lt;=0),"N/M",(F49/B49)^(1/4)-1), "N/M")</f>
        <v/>
      </c>
      <c r="N49" s="10">
        <f>IFERROR(IF(OR(G49&lt;=0,K49&lt;=0),"N/M",(K49/G49)^(1/4)-1), "N/M")</f>
        <v/>
      </c>
    </row>
    <row r="51">
      <c r="A51" s="3" t="inlineStr">
        <is>
          <t>Valuation (terminal = FY30)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</row>
    <row r="52">
      <c r="A52" s="2" t="inlineStr">
        <is>
          <t>Target ($/sh, ARR-lens)</t>
        </is>
      </c>
      <c r="K52" s="32">
        <f>(Assumptions!C47*K49+Assumptions!B7*1000)/K47</f>
        <v/>
      </c>
    </row>
    <row r="53">
      <c r="A53" s="2" t="inlineStr">
        <is>
          <t>Target ($/sh, FCF-lens)</t>
        </is>
      </c>
      <c r="K53" s="32">
        <f>(Assumptions!C50*K42+Assumptions!B7*1000)/K47</f>
        <v/>
      </c>
    </row>
    <row r="54">
      <c r="A54" s="2" t="inlineStr">
        <is>
          <t>Target (blended)</t>
        </is>
      </c>
      <c r="K54" s="36">
        <f>AVERAGE(K52,K53)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Assumptions!C71</f>
        <v/>
      </c>
      <c r="I6" s="29">
        <f>Assumptions!D71</f>
        <v/>
      </c>
      <c r="J6" s="29">
        <f>Assumptions!E71</f>
        <v/>
      </c>
      <c r="K6" s="29">
        <f>Assumptions!F71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Assumptions!C75</f>
        <v/>
      </c>
      <c r="I7" s="30">
        <f>Assumptions!D75</f>
        <v/>
      </c>
      <c r="J7" s="30">
        <f>Assumptions!E75</f>
        <v/>
      </c>
      <c r="K7" s="30">
        <f>Assumptions!F75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Assumptions!C83</f>
        <v/>
      </c>
      <c r="I9" s="31">
        <f>Assumptions!D83</f>
        <v/>
      </c>
      <c r="J9" s="31">
        <f>Assumptions!E83</f>
        <v/>
      </c>
      <c r="K9" s="31">
        <f>Assumptions!F83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Assumptions!C87</f>
        <v/>
      </c>
      <c r="I10" s="32">
        <f>Assumptions!D87</f>
        <v/>
      </c>
      <c r="J10" s="32">
        <f>Assumptions!E87</f>
        <v/>
      </c>
      <c r="K10" s="32">
        <f>Assumptions!F87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Revenue_Build!B29</f>
        <v/>
      </c>
      <c r="I12" s="31">
        <f>Revenue_Build!C29</f>
        <v/>
      </c>
      <c r="J12" s="31">
        <f>Revenue_Build!D29</f>
        <v/>
      </c>
      <c r="K12" s="31">
        <f>Revenue_Build!E29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Revenue_Build!B30</f>
        <v/>
      </c>
      <c r="I13" s="31">
        <f>Revenue_Build!C30</f>
        <v/>
      </c>
      <c r="J13" s="31">
        <f>Revenue_Build!D30</f>
        <v/>
      </c>
      <c r="K13" s="31">
        <f>Revenue_Build!E30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Revenue_Build!B32</f>
        <v/>
      </c>
      <c r="I14" s="31">
        <f>Revenue_Build!C32</f>
        <v/>
      </c>
      <c r="J14" s="31">
        <f>Revenue_Build!D32</f>
        <v/>
      </c>
      <c r="K14" s="31">
        <f>Revenue_Build!E32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Assumptions!C12</f>
        <v/>
      </c>
      <c r="I18" s="33">
        <f>Assumptions!D12</f>
        <v/>
      </c>
      <c r="J18" s="33">
        <f>Assumptions!E12</f>
        <v/>
      </c>
      <c r="K18" s="33">
        <f>Assumptions!F12</f>
        <v/>
      </c>
    </row>
    <row r="19">
      <c r="A19" t="inlineStr">
        <is>
          <t>Backlog growth %</t>
        </is>
      </c>
      <c r="H19" s="33">
        <f>Assumptions!C16</f>
        <v/>
      </c>
      <c r="I19" s="33">
        <f>Assumptions!D16</f>
        <v/>
      </c>
      <c r="J19" s="33">
        <f>Assumptions!E16</f>
        <v/>
      </c>
      <c r="K19" s="33">
        <f>Assumptions!F16</f>
        <v/>
      </c>
    </row>
    <row r="20">
      <c r="A20" t="inlineStr">
        <is>
          <t>Cost of rev (% rev)</t>
        </is>
      </c>
      <c r="H20" s="33">
        <f>Assumptions!C20</f>
        <v/>
      </c>
      <c r="I20" s="33">
        <f>Assumptions!D20</f>
        <v/>
      </c>
      <c r="J20" s="33">
        <f>Assumptions!E20</f>
        <v/>
      </c>
      <c r="K20" s="33">
        <f>Assumptions!F20</f>
        <v/>
      </c>
    </row>
    <row r="21">
      <c r="A21" t="inlineStr">
        <is>
          <t>R&amp;D (% rev)</t>
        </is>
      </c>
      <c r="H21" s="33">
        <f>Assumptions!C24</f>
        <v/>
      </c>
      <c r="I21" s="33">
        <f>Assumptions!D24</f>
        <v/>
      </c>
      <c r="J21" s="33">
        <f>Assumptions!E24</f>
        <v/>
      </c>
      <c r="K21" s="33">
        <f>Assumptions!F24</f>
        <v/>
      </c>
    </row>
    <row r="22">
      <c r="A22" t="inlineStr">
        <is>
          <t>S&amp;M (% rev)</t>
        </is>
      </c>
      <c r="H22" s="33">
        <f>Assumptions!C28</f>
        <v/>
      </c>
      <c r="I22" s="33">
        <f>Assumptions!D28</f>
        <v/>
      </c>
      <c r="J22" s="33">
        <f>Assumptions!E28</f>
        <v/>
      </c>
      <c r="K22" s="33">
        <f>Assumptions!F28</f>
        <v/>
      </c>
    </row>
    <row r="23">
      <c r="A23" t="inlineStr">
        <is>
          <t>G&amp;A (% rev)</t>
        </is>
      </c>
      <c r="H23" s="33">
        <f>Assumptions!C32</f>
        <v/>
      </c>
      <c r="I23" s="33">
        <f>Assumptions!D32</f>
        <v/>
      </c>
      <c r="J23" s="33">
        <f>Assumptions!E32</f>
        <v/>
      </c>
      <c r="K23" s="33">
        <f>Assumptions!F32</f>
        <v/>
      </c>
    </row>
    <row r="24">
      <c r="A24" t="inlineStr">
        <is>
          <t>SBC (% rev)</t>
        </is>
      </c>
      <c r="H24" s="33">
        <f>Assumptions!C36</f>
        <v/>
      </c>
      <c r="I24" s="33">
        <f>Assumptions!D36</f>
        <v/>
      </c>
      <c r="J24" s="33">
        <f>Assumptions!E36</f>
        <v/>
      </c>
      <c r="K24" s="33">
        <f>Assumptions!F36</f>
        <v/>
      </c>
    </row>
    <row r="25">
      <c r="A25" t="inlineStr">
        <is>
          <t>CFO margin</t>
        </is>
      </c>
      <c r="H25" s="33">
        <f>Assumptions!C40</f>
        <v/>
      </c>
      <c r="I25" s="33">
        <f>Assumptions!D40</f>
        <v/>
      </c>
      <c r="J25" s="33">
        <f>Assumptions!E40</f>
        <v/>
      </c>
      <c r="K25" s="33">
        <f>Assumptions!F40</f>
        <v/>
      </c>
    </row>
    <row r="26">
      <c r="A26" t="inlineStr">
        <is>
          <t>Buyback (%/yr)</t>
        </is>
      </c>
      <c r="H26" s="33">
        <f>Assumptions!C44</f>
        <v/>
      </c>
      <c r="I26" s="33">
        <f>Assumptions!D44</f>
        <v/>
      </c>
      <c r="J26" s="33">
        <f>Assumptions!E44</f>
        <v/>
      </c>
      <c r="K26" s="33">
        <f>Assumptions!F44</f>
        <v/>
      </c>
    </row>
    <row r="28">
      <c r="A28" s="3" t="inlineStr">
        <is>
          <t>Income Statement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4">
        <f>H29*Assumptions!C20</f>
        <v/>
      </c>
      <c r="I30" s="34">
        <f>I29*Assumptions!D20</f>
        <v/>
      </c>
      <c r="J30" s="34">
        <f>J29*Assumptions!E20</f>
        <v/>
      </c>
      <c r="K30" s="34">
        <f>K29*Assumptions!F20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4">
        <f>H29*Assumptions!C24</f>
        <v/>
      </c>
      <c r="I32" s="34">
        <f>I29*Assumptions!D24</f>
        <v/>
      </c>
      <c r="J32" s="34">
        <f>J29*Assumptions!E24</f>
        <v/>
      </c>
      <c r="K32" s="34">
        <f>K29*Assumptions!F24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4">
        <f>H29*Assumptions!C28</f>
        <v/>
      </c>
      <c r="I33" s="34">
        <f>I29*Assumptions!D28</f>
        <v/>
      </c>
      <c r="J33" s="34">
        <f>J29*Assumptions!E28</f>
        <v/>
      </c>
      <c r="K33" s="34">
        <f>K29*Assumptions!F28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4">
        <f>H29*Assumptions!C32</f>
        <v/>
      </c>
      <c r="I34" s="34">
        <f>I29*Assumptions!D32</f>
        <v/>
      </c>
      <c r="J34" s="34">
        <f>J29*Assumptions!E32</f>
        <v/>
      </c>
      <c r="K34" s="34">
        <f>K29*Assumptions!F32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4">
        <f>H31-H32-H33-H34-280</f>
        <v/>
      </c>
      <c r="I35" s="34">
        <f>I31-I32-I33-I34-300</f>
        <v/>
      </c>
      <c r="J35" s="34">
        <f>J31-J32-J33-J34-320</f>
        <v/>
      </c>
      <c r="K35" s="34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5">
        <f>IFERROR(F36-B36, "")</f>
        <v/>
      </c>
      <c r="N36" s="35">
        <f>IFERROR(K36-G36, "")</f>
        <v/>
      </c>
    </row>
    <row r="37">
      <c r="A37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Cash Flow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t="inlineStr">
        <is>
          <t>Cash from operations</t>
        </is>
      </c>
      <c r="B40" s="13" t="n">
        <v>1268.4</v>
      </c>
      <c r="C40" s="13" t="n">
        <v>1651</v>
      </c>
      <c r="D40" s="13" t="n">
        <v>1657</v>
      </c>
      <c r="E40" s="13" t="n">
        <v>2149</v>
      </c>
      <c r="F40" s="13" t="n">
        <v>2461</v>
      </c>
      <c r="G40" s="13" t="n">
        <v>2939</v>
      </c>
      <c r="H40" s="31">
        <f>H29*Assumptions!C40</f>
        <v/>
      </c>
      <c r="I40" s="31">
        <f>I29*Assumptions!D40</f>
        <v/>
      </c>
      <c r="J40" s="31">
        <f>J29*Assumptions!E40</f>
        <v/>
      </c>
      <c r="K40" s="31">
        <f>K29*Assumptions!F40</f>
        <v/>
      </c>
      <c r="M40" s="10">
        <f>IFERROR(IF(OR(B40&lt;=0,F40&lt;=0),"N/M",(F40/B40)^(1/4)-1), "N/M")</f>
        <v/>
      </c>
      <c r="N40" s="10">
        <f>IFERROR(IF(OR(G40&lt;=0,K40&lt;=0),"N/M",(K40/G40)^(1/4)-1), "N/M")</f>
        <v/>
      </c>
    </row>
    <row r="41">
      <c r="A41" t="inlineStr">
        <is>
          <t>Capex (~2% rev)</t>
        </is>
      </c>
      <c r="B41" s="20" t="n"/>
      <c r="C41" s="20" t="n"/>
      <c r="D41" s="20" t="n">
        <v>364</v>
      </c>
      <c r="E41" s="20" t="n">
        <v>232</v>
      </c>
      <c r="F41" s="20" t="n">
        <v>269</v>
      </c>
      <c r="G41" s="20" t="n">
        <v>162</v>
      </c>
      <c r="H41" s="34">
        <f>H29*0.02</f>
        <v/>
      </c>
      <c r="I41" s="34">
        <f>I29*0.02</f>
        <v/>
      </c>
      <c r="J41" s="34">
        <f>J29*0.02</f>
        <v/>
      </c>
      <c r="K41" s="34">
        <f>K29*0.02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Free cash flow</t>
        </is>
      </c>
      <c r="B42" s="12">
        <f>IFERROR(B40-B41,B40)</f>
        <v/>
      </c>
      <c r="C42" s="12">
        <f>IFERROR(C40-C41,C40)</f>
        <v/>
      </c>
      <c r="D42" s="12">
        <f>IFERROR(D40-D41,D40)</f>
        <v/>
      </c>
      <c r="E42" s="12">
        <f>IFERROR(E40-E41,E40)</f>
        <v/>
      </c>
      <c r="F42" s="12">
        <f>IFERROR(F40-F41,F40)</f>
        <v/>
      </c>
      <c r="G42" s="12">
        <f>IFERROR(G40-G41,G40)</f>
        <v/>
      </c>
      <c r="H42" s="31">
        <f>IFERROR(H40-H41,H40)</f>
        <v/>
      </c>
      <c r="I42" s="31">
        <f>IFERROR(I40-I41,I40)</f>
        <v/>
      </c>
      <c r="J42" s="31">
        <f>IFERROR(J40-J41,J40)</f>
        <v/>
      </c>
      <c r="K42" s="31">
        <f>IFERROR(K40-K41,K40)</f>
        <v/>
      </c>
      <c r="M42" s="10">
        <f>IFERROR(IF(OR(B42&lt;=0,F42&lt;=0),"N/M",(F42/B42)^(1/4)-1), "N/M")</f>
        <v/>
      </c>
      <c r="N42" s="10">
        <f>IFERROR(IF(OR(G42&lt;=0,K42&lt;=0),"N/M",(K42/G42)^(1/4)-1), "N/M")</f>
        <v/>
      </c>
    </row>
    <row r="43">
      <c r="A43" t="inlineStr">
        <is>
          <t>SBC</t>
        </is>
      </c>
      <c r="B43" s="20" t="n">
        <v>1004.9</v>
      </c>
      <c r="C43" s="20" t="n">
        <v>1101</v>
      </c>
      <c r="D43" s="20" t="n">
        <v>1295</v>
      </c>
      <c r="E43" s="20" t="n">
        <v>1416</v>
      </c>
      <c r="F43" s="20" t="n">
        <v>1519</v>
      </c>
      <c r="G43" s="20" t="n">
        <v>1626</v>
      </c>
      <c r="H43" s="34">
        <f>H29*Assumptions!C36</f>
        <v/>
      </c>
      <c r="I43" s="34">
        <f>I29*Assumptions!D36</f>
        <v/>
      </c>
      <c r="J43" s="34">
        <f>J29*Assumptions!E36</f>
        <v/>
      </c>
      <c r="K43" s="34">
        <f>K29*Assumptions!F36</f>
        <v/>
      </c>
      <c r="M43" s="10">
        <f>IFERROR(IF(OR(B43&lt;=0,F43&lt;=0),"N/M",(F43/B43)^(1/4)-1), "N/M")</f>
        <v/>
      </c>
      <c r="N43" s="10">
        <f>IFERROR(IF(OR(G43&lt;=0,K43&lt;=0),"N/M",(K43/G43)^(1/4)-1), "N/M")</f>
        <v/>
      </c>
    </row>
    <row r="44">
      <c r="A44" s="2" t="inlineStr">
        <is>
          <t>FCF − SBC</t>
        </is>
      </c>
      <c r="B44" s="22">
        <f>B42-B43</f>
        <v/>
      </c>
      <c r="C44" s="22">
        <f>C42-C43</f>
        <v/>
      </c>
      <c r="D44" s="22">
        <f>D42-D43</f>
        <v/>
      </c>
      <c r="E44" s="22">
        <f>E42-E43</f>
        <v/>
      </c>
      <c r="F44" s="22">
        <f>F42-F43</f>
        <v/>
      </c>
      <c r="G44" s="22">
        <f>G42-G43</f>
        <v/>
      </c>
      <c r="H44" s="34">
        <f>H42-H43</f>
        <v/>
      </c>
      <c r="I44" s="34">
        <f>I42-I43</f>
        <v/>
      </c>
      <c r="J44" s="34">
        <f>J42-J43</f>
        <v/>
      </c>
      <c r="K44" s="34">
        <f>K42-K43</f>
        <v/>
      </c>
      <c r="M44" s="10">
        <f>IFERROR(IF(OR(B44&lt;=0,F44&lt;=0),"N/M",(F44/B44)^(1/4)-1), "N/M")</f>
        <v/>
      </c>
      <c r="N44" s="10">
        <f>IFERROR(IF(OR(G44&lt;=0,K44&lt;=0),"N/M",(K44/G44)^(1/4)-1), "N/M")</f>
        <v/>
      </c>
    </row>
    <row r="46">
      <c r="A46" s="3" t="inlineStr">
        <is>
          <t>Per-share</t>
        </is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</row>
    <row r="47">
      <c r="A47" t="inlineStr">
        <is>
          <t>Diluted shares (M)</t>
        </is>
      </c>
      <c r="B47" s="11" t="n">
        <v>237</v>
      </c>
      <c r="C47" s="11" t="n">
        <v>254</v>
      </c>
      <c r="D47" s="11" t="n">
        <v>254.8</v>
      </c>
      <c r="E47" s="11" t="n">
        <v>265.3</v>
      </c>
      <c r="F47" s="11" t="n">
        <v>269.2</v>
      </c>
      <c r="G47" s="11" t="n">
        <v>268.1</v>
      </c>
      <c r="H47" s="29">
        <f>G47*(1-Assumptions!C44)</f>
        <v/>
      </c>
      <c r="I47" s="29">
        <f>H47*(1-Assumptions!D44)</f>
        <v/>
      </c>
      <c r="J47" s="29">
        <f>I47*(1-Assumptions!E44)</f>
        <v/>
      </c>
      <c r="K47" s="29">
        <f>J47*(1-Assumptions!F44)</f>
        <v/>
      </c>
      <c r="M47" s="10">
        <f>IFERROR(IF(OR(B47&lt;=0,F47&lt;=0),"N/M",(F47/B47)^(1/4)-1), "N/M")</f>
        <v/>
      </c>
      <c r="N47" s="10">
        <f>IFERROR(IF(OR(G47&lt;=0,K47&lt;=0),"N/M",(K47/G47)^(1/4)-1), "N/M")</f>
        <v/>
      </c>
    </row>
    <row r="48">
      <c r="A48" t="inlineStr">
        <is>
          <t>FCF / share</t>
        </is>
      </c>
      <c r="B48" s="6">
        <f>IFERROR(B42/B47,"")</f>
        <v/>
      </c>
      <c r="C48" s="6">
        <f>IFERROR(C42/C47,"")</f>
        <v/>
      </c>
      <c r="D48" s="6">
        <f>IFERROR(D42/D47,"")</f>
        <v/>
      </c>
      <c r="E48" s="6">
        <f>IFERROR(E42/E47,"")</f>
        <v/>
      </c>
      <c r="F48" s="6">
        <f>IFERROR(F42/F47,"")</f>
        <v/>
      </c>
      <c r="G48" s="6">
        <f>IFERROR(G42/G47,"")</f>
        <v/>
      </c>
      <c r="H48" s="30">
        <f>IFERROR(H42/H47,"")</f>
        <v/>
      </c>
      <c r="I48" s="30">
        <f>IFERROR(I42/I47,"")</f>
        <v/>
      </c>
      <c r="J48" s="30">
        <f>IFERROR(J42/J47,"")</f>
        <v/>
      </c>
      <c r="K48" s="30">
        <f>IFERROR(K42/K47,"")</f>
        <v/>
      </c>
      <c r="M48" s="10">
        <f>IFERROR(IF(OR(B48&lt;=0,F48&lt;=0),"N/M",(F48/B48)^(1/4)-1), "N/M")</f>
        <v/>
      </c>
      <c r="N48" s="10">
        <f>IFERROR(IF(OR(G48&lt;=0,K48&lt;=0),"N/M",(K48/G48)^(1/4)-1), "N/M")</f>
        <v/>
      </c>
    </row>
    <row r="49">
      <c r="A49" t="inlineStr">
        <is>
          <t>12-mo backlog ($M)</t>
        </is>
      </c>
      <c r="E49" s="13" t="n">
        <v>6602</v>
      </c>
      <c r="F49" s="13" t="n">
        <v>7631</v>
      </c>
      <c r="G49" s="13" t="n">
        <v>8833</v>
      </c>
      <c r="H49" s="31">
        <f>G49*(1+Assumptions!C16)</f>
        <v/>
      </c>
      <c r="I49" s="31">
        <f>H49*(1+Assumptions!D16)</f>
        <v/>
      </c>
      <c r="J49" s="31">
        <f>I49*(1+Assumptions!E16)</f>
        <v/>
      </c>
      <c r="K49" s="31">
        <f>J49*(1+Assumptions!F16)</f>
        <v/>
      </c>
      <c r="M49" s="10">
        <f>IFERROR(IF(OR(B49&lt;=0,F49&lt;=0),"N/M",(F49/B49)^(1/4)-1), "N/M")</f>
        <v/>
      </c>
      <c r="N49" s="10">
        <f>IFERROR(IF(OR(G49&lt;=0,K49&lt;=0),"N/M",(K49/G49)^(1/4)-1), "N/M")</f>
        <v/>
      </c>
    </row>
    <row r="51">
      <c r="A51" s="3" t="inlineStr">
        <is>
          <t>Valuation (terminal = FY30)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</row>
    <row r="52">
      <c r="A52" s="2" t="inlineStr">
        <is>
          <t>Target ($/sh, ARR-lens)</t>
        </is>
      </c>
      <c r="K52" s="32">
        <f>(Assumptions!C48*K49+Assumptions!B7*1000)/K47</f>
        <v/>
      </c>
    </row>
    <row r="53">
      <c r="A53" s="2" t="inlineStr">
        <is>
          <t>Target ($/sh, FCF-lens)</t>
        </is>
      </c>
      <c r="K53" s="32">
        <f>(Assumptions!C51*K42+Assumptions!B7*1000)/K47</f>
        <v/>
      </c>
    </row>
    <row r="54">
      <c r="A54" s="2" t="inlineStr">
        <is>
          <t>Target (blended)</t>
        </is>
      </c>
      <c r="K54" s="36">
        <f>AVERAGE(K52,K53)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28" t="inlineStr">
        <is>
          <t>REVENUE BUILD (driven by Assumptions Unit Economics block)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HCM seats (M)</t>
        </is>
      </c>
      <c r="B6" s="11">
        <f>Assumptions!E61</f>
        <v/>
      </c>
      <c r="C6" s="11">
        <f>Assumptions!F61</f>
        <v/>
      </c>
      <c r="D6" s="11">
        <f>Assumptions!G61</f>
        <v/>
      </c>
      <c r="E6" s="11">
        <f>Assumptions!H61</f>
        <v/>
      </c>
      <c r="F6" s="11">
        <f>Assumptions!I61</f>
        <v/>
      </c>
      <c r="G6" s="11">
        <f>Assumptions!J61</f>
        <v/>
      </c>
      <c r="H6" s="29">
        <f>Assumptions!C72</f>
        <v/>
      </c>
      <c r="I6" s="29">
        <f>Assumptions!D72</f>
        <v/>
      </c>
      <c r="J6" s="29">
        <f>Assumptions!E72</f>
        <v/>
      </c>
      <c r="K6" s="29">
        <f>Assumptions!F72</f>
        <v/>
      </c>
      <c r="M6" s="10">
        <f>IFERROR(IF(OR(B6&lt;=0,F6&lt;=0),"N/M",(F6/B6)^(1/4)-1), "N/M")</f>
        <v/>
      </c>
      <c r="N6" s="10">
        <f>IFERROR(IF(OR(G6&lt;=0,K6&lt;=0),"N/M",(K6/G6)^(1/4)-1), "N/M")</f>
        <v/>
      </c>
    </row>
    <row r="7">
      <c r="A7" t="inlineStr">
        <is>
          <t>HCM PEPM ($/mo)</t>
        </is>
      </c>
      <c r="B7" s="6">
        <f>Assumptions!E62</f>
        <v/>
      </c>
      <c r="C7" s="6">
        <f>Assumptions!F62</f>
        <v/>
      </c>
      <c r="D7" s="6">
        <f>Assumptions!G62</f>
        <v/>
      </c>
      <c r="E7" s="6">
        <f>Assumptions!H62</f>
        <v/>
      </c>
      <c r="F7" s="6">
        <f>Assumptions!I62</f>
        <v/>
      </c>
      <c r="G7" s="6">
        <f>Assumptions!J62</f>
        <v/>
      </c>
      <c r="H7" s="30">
        <f>Assumptions!C76</f>
        <v/>
      </c>
      <c r="I7" s="30">
        <f>Assumptions!D76</f>
        <v/>
      </c>
      <c r="J7" s="30">
        <f>Assumptions!E76</f>
        <v/>
      </c>
      <c r="K7" s="30">
        <f>Assumptions!F76</f>
        <v/>
      </c>
      <c r="M7" s="10">
        <f>IFERROR(IF(OR(B7&lt;=0,F7&lt;=0),"N/M",(F7/B7)^(1/4)-1), "N/M")</f>
        <v/>
      </c>
      <c r="N7" s="10">
        <f>IFERROR(IF(OR(G7&lt;=0,K7&lt;=0),"N/M",(K7/G7)^(1/4)-1), "N/M")</f>
        <v/>
      </c>
    </row>
    <row r="8">
      <c r="A8" s="2" t="inlineStr">
        <is>
          <t>HCM revenue ($M)</t>
        </is>
      </c>
      <c r="B8" s="13">
        <f>B6*B7*12</f>
        <v/>
      </c>
      <c r="C8" s="13">
        <f>C6*C7*12</f>
        <v/>
      </c>
      <c r="D8" s="13">
        <f>D6*D7*12</f>
        <v/>
      </c>
      <c r="E8" s="13">
        <f>E6*E7*12</f>
        <v/>
      </c>
      <c r="F8" s="13">
        <f>F6*F7*12</f>
        <v/>
      </c>
      <c r="G8" s="13">
        <f>G6*G7*12</f>
        <v/>
      </c>
      <c r="H8" s="31">
        <f>H6*H7*12</f>
        <v/>
      </c>
      <c r="I8" s="31">
        <f>I6*I7*12</f>
        <v/>
      </c>
      <c r="J8" s="31">
        <f>J6*J7*12</f>
        <v/>
      </c>
      <c r="K8" s="31">
        <f>K6*K7*12</f>
        <v/>
      </c>
      <c r="M8" s="10">
        <f>IFERROR(IF(OR(B8&lt;=0,F8&lt;=0),"N/M",(F8/B8)^(1/4)-1), "N/M")</f>
        <v/>
      </c>
      <c r="N8" s="10">
        <f>IFERROR(IF(OR(G8&lt;=0,K8&lt;=0),"N/M",(K8/G8)^(1/4)-1), "N/M")</f>
        <v/>
      </c>
    </row>
    <row r="9">
      <c r="A9" t="inlineStr">
        <is>
          <t>Financials customers (#)</t>
        </is>
      </c>
      <c r="B9" s="13">
        <f>Assumptions!E64</f>
        <v/>
      </c>
      <c r="C9" s="13">
        <f>Assumptions!F64</f>
        <v/>
      </c>
      <c r="D9" s="13">
        <f>Assumptions!G64</f>
        <v/>
      </c>
      <c r="E9" s="13">
        <f>Assumptions!H64</f>
        <v/>
      </c>
      <c r="F9" s="13">
        <f>Assumptions!I64</f>
        <v/>
      </c>
      <c r="G9" s="13">
        <f>Assumptions!J64</f>
        <v/>
      </c>
      <c r="H9" s="31">
        <f>Assumptions!C84</f>
        <v/>
      </c>
      <c r="I9" s="31">
        <f>Assumptions!D84</f>
        <v/>
      </c>
      <c r="J9" s="31">
        <f>Assumptions!E84</f>
        <v/>
      </c>
      <c r="K9" s="31">
        <f>Assumptions!F84</f>
        <v/>
      </c>
      <c r="M9" s="10">
        <f>IFERROR(IF(OR(B9&lt;=0,F9&lt;=0),"N/M",(F9/B9)^(1/4)-1), "N/M")</f>
        <v/>
      </c>
      <c r="N9" s="10">
        <f>IFERROR(IF(OR(G9&lt;=0,K9&lt;=0),"N/M",(K9/G9)^(1/4)-1), "N/M")</f>
        <v/>
      </c>
    </row>
    <row r="10">
      <c r="A10" t="inlineStr">
        <is>
          <t>Financials ARPC ($k/yr)</t>
        </is>
      </c>
      <c r="B10" s="8">
        <f>Assumptions!E65</f>
        <v/>
      </c>
      <c r="C10" s="8">
        <f>Assumptions!F65</f>
        <v/>
      </c>
      <c r="D10" s="8">
        <f>Assumptions!G65</f>
        <v/>
      </c>
      <c r="E10" s="8">
        <f>Assumptions!H65</f>
        <v/>
      </c>
      <c r="F10" s="8">
        <f>Assumptions!I65</f>
        <v/>
      </c>
      <c r="G10" s="8">
        <f>Assumptions!J65</f>
        <v/>
      </c>
      <c r="H10" s="32">
        <f>Assumptions!C88</f>
        <v/>
      </c>
      <c r="I10" s="32">
        <f>Assumptions!D88</f>
        <v/>
      </c>
      <c r="J10" s="32">
        <f>Assumptions!E88</f>
        <v/>
      </c>
      <c r="K10" s="32">
        <f>Assumptions!F88</f>
        <v/>
      </c>
      <c r="M10" s="10">
        <f>IFERROR(IF(OR(B10&lt;=0,F10&lt;=0),"N/M",(F10/B10)^(1/4)-1), "N/M")</f>
        <v/>
      </c>
      <c r="N10" s="10">
        <f>IFERROR(IF(OR(G10&lt;=0,K10&lt;=0),"N/M",(K10/G10)^(1/4)-1), "N/M")</f>
        <v/>
      </c>
    </row>
    <row r="11">
      <c r="A11" s="2" t="inlineStr">
        <is>
          <t>Financials revenue ($M)</t>
        </is>
      </c>
      <c r="B11" s="13">
        <f>B9*B10/1000</f>
        <v/>
      </c>
      <c r="C11" s="13">
        <f>C9*C10/1000</f>
        <v/>
      </c>
      <c r="D11" s="13">
        <f>D9*D10/1000</f>
        <v/>
      </c>
      <c r="E11" s="13">
        <f>E9*E10/1000</f>
        <v/>
      </c>
      <c r="F11" s="13">
        <f>F9*F10/1000</f>
        <v/>
      </c>
      <c r="G11" s="13">
        <f>G9*G10/1000</f>
        <v/>
      </c>
      <c r="H11" s="31">
        <f>H9*H10/1000</f>
        <v/>
      </c>
      <c r="I11" s="31">
        <f>I9*I10/1000</f>
        <v/>
      </c>
      <c r="J11" s="31">
        <f>J9*J10/1000</f>
        <v/>
      </c>
      <c r="K11" s="31">
        <f>K9*K10/1000</f>
        <v/>
      </c>
      <c r="M11" s="10">
        <f>IFERROR(IF(OR(B11&lt;=0,F11&lt;=0),"N/M",(F11/B11)^(1/4)-1), "N/M")</f>
        <v/>
      </c>
      <c r="N11" s="10">
        <f>IFERROR(IF(OR(G11&lt;=0,K11&lt;=0),"N/M",(K11/G11)^(1/4)-1), "N/M")</f>
        <v/>
      </c>
    </row>
    <row r="12">
      <c r="A12" t="inlineStr">
        <is>
          <t>AI ARR booked ($M)</t>
        </is>
      </c>
      <c r="B12" s="13" t="n">
        <v>0</v>
      </c>
      <c r="C12" s="13" t="n">
        <v>0</v>
      </c>
      <c r="D12" s="13" t="n">
        <v>0</v>
      </c>
      <c r="E12" s="13" t="n">
        <v>0</v>
      </c>
      <c r="F12" s="13" t="n">
        <v>80</v>
      </c>
      <c r="G12" s="13" t="n">
        <v>400</v>
      </c>
      <c r="H12" s="31">
        <f>Revenue_Build!B49</f>
        <v/>
      </c>
      <c r="I12" s="31">
        <f>Revenue_Build!C49</f>
        <v/>
      </c>
      <c r="J12" s="31">
        <f>Revenue_Build!D49</f>
        <v/>
      </c>
      <c r="K12" s="31">
        <f>Revenue_Build!E49</f>
        <v/>
      </c>
      <c r="M12" s="10">
        <f>IFERROR(IF(OR(B12&lt;=0,F12&lt;=0),"N/M",(F12/B12)^(1/4)-1), "N/M")</f>
        <v/>
      </c>
      <c r="N12" s="10">
        <f>IFERROR(IF(OR(G12&lt;=0,K12&lt;=0),"N/M",(K12/G12)^(1/4)-1), "N/M")</f>
        <v/>
      </c>
    </row>
    <row r="13">
      <c r="A13" s="2" t="inlineStr">
        <is>
          <t>AI ARR recognized ($M)</t>
        </is>
      </c>
      <c r="B13" s="13" t="n">
        <v>0</v>
      </c>
      <c r="C13" s="13" t="n">
        <v>0</v>
      </c>
      <c r="D13" s="13" t="n">
        <v>0</v>
      </c>
      <c r="E13" s="13" t="n">
        <v>0</v>
      </c>
      <c r="F13" s="13" t="n">
        <v>60</v>
      </c>
      <c r="G13" s="13" t="n">
        <v>280</v>
      </c>
      <c r="H13" s="31">
        <f>Revenue_Build!B50</f>
        <v/>
      </c>
      <c r="I13" s="31">
        <f>Revenue_Build!C50</f>
        <v/>
      </c>
      <c r="J13" s="31">
        <f>Revenue_Build!D50</f>
        <v/>
      </c>
      <c r="K13" s="31">
        <f>Revenue_Build!E50</f>
        <v/>
      </c>
      <c r="M13" s="10">
        <f>IFERROR(IF(OR(B13&lt;=0,F13&lt;=0),"N/M",(F13/B13)^(1/4)-1), "N/M")</f>
        <v/>
      </c>
      <c r="N13" s="10">
        <f>IFERROR(IF(OR(G13&lt;=0,K13&lt;=0),"N/M",(K13/G13)^(1/4)-1), "N/M")</f>
        <v/>
      </c>
    </row>
    <row r="14">
      <c r="A14" t="inlineStr">
        <is>
          <t>Services revenue ($M)</t>
        </is>
      </c>
      <c r="B14" s="13" t="n">
        <v>359</v>
      </c>
      <c r="C14" s="13" t="n">
        <v>339</v>
      </c>
      <c r="D14" s="13" t="n">
        <v>307</v>
      </c>
      <c r="E14" s="13" t="n">
        <v>656</v>
      </c>
      <c r="F14" s="13" t="n">
        <v>728</v>
      </c>
      <c r="G14" s="13" t="n">
        <v>719</v>
      </c>
      <c r="H14" s="31">
        <f>Revenue_Build!B52</f>
        <v/>
      </c>
      <c r="I14" s="31">
        <f>Revenue_Build!C52</f>
        <v/>
      </c>
      <c r="J14" s="31">
        <f>Revenue_Build!D52</f>
        <v/>
      </c>
      <c r="K14" s="31">
        <f>Revenue_Build!E52</f>
        <v/>
      </c>
      <c r="M14" s="10">
        <f>IFERROR(IF(OR(B14&lt;=0,F14&lt;=0),"N/M",(F14/B14)^(1/4)-1), "N/M")</f>
        <v/>
      </c>
      <c r="N14" s="10">
        <f>IFERROR(IF(OR(G14&lt;=0,K14&lt;=0),"N/M",(K14/G14)^(1/4)-1), "N/M")</f>
        <v/>
      </c>
    </row>
    <row r="15">
      <c r="A15" s="2" t="inlineStr">
        <is>
          <t>Total revenue ($M)</t>
        </is>
      </c>
      <c r="B15" s="12">
        <f>B8+B11+B13+B14</f>
        <v/>
      </c>
      <c r="C15" s="12">
        <f>C8+C11+C13+C14</f>
        <v/>
      </c>
      <c r="D15" s="12">
        <f>D8+D11+D13+D14</f>
        <v/>
      </c>
      <c r="E15" s="12">
        <f>E8+E11+E13+E14</f>
        <v/>
      </c>
      <c r="F15" s="12">
        <f>F8+F11+F13+F14</f>
        <v/>
      </c>
      <c r="G15" s="12">
        <f>G8+G11+G13+G14</f>
        <v/>
      </c>
      <c r="H15" s="31">
        <f>H8+H11+H13+H14</f>
        <v/>
      </c>
      <c r="I15" s="31">
        <f>I8+I11+I13+I14</f>
        <v/>
      </c>
      <c r="J15" s="31">
        <f>J8+J11+J13+J14</f>
        <v/>
      </c>
      <c r="K15" s="31">
        <f>K8+K11+K13+K14</f>
        <v/>
      </c>
      <c r="M15" s="10">
        <f>IFERROR(IF(OR(B15&lt;=0,F15&lt;=0),"N/M",(F15/B15)^(1/4)-1), "N/M")</f>
        <v/>
      </c>
      <c r="N15" s="10">
        <f>IFERROR(IF(OR(G15&lt;=0,K15&lt;=0),"N/M",(K15/G15)^(1/4)-1), "N/M")</f>
        <v/>
      </c>
    </row>
    <row r="17">
      <c r="A17" s="3" t="inlineStr">
        <is>
          <t>Drivers (from Assumptions tab)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t="inlineStr">
        <is>
          <t>Revenue growth %</t>
        </is>
      </c>
      <c r="H18" s="33">
        <f>Assumptions!C13</f>
        <v/>
      </c>
      <c r="I18" s="33">
        <f>Assumptions!D13</f>
        <v/>
      </c>
      <c r="J18" s="33">
        <f>Assumptions!E13</f>
        <v/>
      </c>
      <c r="K18" s="33">
        <f>Assumptions!F13</f>
        <v/>
      </c>
    </row>
    <row r="19">
      <c r="A19" t="inlineStr">
        <is>
          <t>Backlog growth %</t>
        </is>
      </c>
      <c r="H19" s="33">
        <f>Assumptions!C17</f>
        <v/>
      </c>
      <c r="I19" s="33">
        <f>Assumptions!D17</f>
        <v/>
      </c>
      <c r="J19" s="33">
        <f>Assumptions!E17</f>
        <v/>
      </c>
      <c r="K19" s="33">
        <f>Assumptions!F17</f>
        <v/>
      </c>
    </row>
    <row r="20">
      <c r="A20" t="inlineStr">
        <is>
          <t>Cost of rev (% rev)</t>
        </is>
      </c>
      <c r="H20" s="33">
        <f>Assumptions!C21</f>
        <v/>
      </c>
      <c r="I20" s="33">
        <f>Assumptions!D21</f>
        <v/>
      </c>
      <c r="J20" s="33">
        <f>Assumptions!E21</f>
        <v/>
      </c>
      <c r="K20" s="33">
        <f>Assumptions!F21</f>
        <v/>
      </c>
    </row>
    <row r="21">
      <c r="A21" t="inlineStr">
        <is>
          <t>R&amp;D (% rev)</t>
        </is>
      </c>
      <c r="H21" s="33">
        <f>Assumptions!C25</f>
        <v/>
      </c>
      <c r="I21" s="33">
        <f>Assumptions!D25</f>
        <v/>
      </c>
      <c r="J21" s="33">
        <f>Assumptions!E25</f>
        <v/>
      </c>
      <c r="K21" s="33">
        <f>Assumptions!F25</f>
        <v/>
      </c>
    </row>
    <row r="22">
      <c r="A22" t="inlineStr">
        <is>
          <t>S&amp;M (% rev)</t>
        </is>
      </c>
      <c r="H22" s="33">
        <f>Assumptions!C29</f>
        <v/>
      </c>
      <c r="I22" s="33">
        <f>Assumptions!D29</f>
        <v/>
      </c>
      <c r="J22" s="33">
        <f>Assumptions!E29</f>
        <v/>
      </c>
      <c r="K22" s="33">
        <f>Assumptions!F29</f>
        <v/>
      </c>
    </row>
    <row r="23">
      <c r="A23" t="inlineStr">
        <is>
          <t>G&amp;A (% rev)</t>
        </is>
      </c>
      <c r="H23" s="33">
        <f>Assumptions!C33</f>
        <v/>
      </c>
      <c r="I23" s="33">
        <f>Assumptions!D33</f>
        <v/>
      </c>
      <c r="J23" s="33">
        <f>Assumptions!E33</f>
        <v/>
      </c>
      <c r="K23" s="33">
        <f>Assumptions!F33</f>
        <v/>
      </c>
    </row>
    <row r="24">
      <c r="A24" t="inlineStr">
        <is>
          <t>SBC (% rev)</t>
        </is>
      </c>
      <c r="H24" s="33">
        <f>Assumptions!C37</f>
        <v/>
      </c>
      <c r="I24" s="33">
        <f>Assumptions!D37</f>
        <v/>
      </c>
      <c r="J24" s="33">
        <f>Assumptions!E37</f>
        <v/>
      </c>
      <c r="K24" s="33">
        <f>Assumptions!F37</f>
        <v/>
      </c>
    </row>
    <row r="25">
      <c r="A25" t="inlineStr">
        <is>
          <t>CFO margin</t>
        </is>
      </c>
      <c r="H25" s="33">
        <f>Assumptions!C41</f>
        <v/>
      </c>
      <c r="I25" s="33">
        <f>Assumptions!D41</f>
        <v/>
      </c>
      <c r="J25" s="33">
        <f>Assumptions!E41</f>
        <v/>
      </c>
      <c r="K25" s="33">
        <f>Assumptions!F41</f>
        <v/>
      </c>
    </row>
    <row r="26">
      <c r="A26" t="inlineStr">
        <is>
          <t>Buyback (%/yr)</t>
        </is>
      </c>
      <c r="H26" s="33">
        <f>Assumptions!C45</f>
        <v/>
      </c>
      <c r="I26" s="33">
        <f>Assumptions!D45</f>
        <v/>
      </c>
      <c r="J26" s="33">
        <f>Assumptions!E45</f>
        <v/>
      </c>
      <c r="K26" s="33">
        <f>Assumptions!F45</f>
        <v/>
      </c>
    </row>
    <row r="28">
      <c r="A28" s="3" t="inlineStr">
        <is>
          <t>Income Statement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t="inlineStr">
        <is>
          <t>Revenue</t>
        </is>
      </c>
      <c r="B29" s="13">
        <f>B15</f>
        <v/>
      </c>
      <c r="C29" s="13">
        <f>C15</f>
        <v/>
      </c>
      <c r="D29" s="13">
        <f>D15</f>
        <v/>
      </c>
      <c r="E29" s="13">
        <f>E15</f>
        <v/>
      </c>
      <c r="F29" s="13">
        <f>F15</f>
        <v/>
      </c>
      <c r="G29" s="13">
        <f>G15</f>
        <v/>
      </c>
      <c r="H29" s="31">
        <f>H15</f>
        <v/>
      </c>
      <c r="I29" s="31">
        <f>I15</f>
        <v/>
      </c>
      <c r="J29" s="31">
        <f>J15</f>
        <v/>
      </c>
      <c r="K29" s="31">
        <f>K15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t="inlineStr">
        <is>
          <t>Cost of revenue</t>
        </is>
      </c>
      <c r="B30" s="20" t="n">
        <v>1198.1</v>
      </c>
      <c r="C30" s="20" t="n">
        <v>1428</v>
      </c>
      <c r="D30" s="20" t="n">
        <v>1750</v>
      </c>
      <c r="E30" s="20" t="n">
        <v>1771</v>
      </c>
      <c r="F30" s="20" t="n">
        <v>2153</v>
      </c>
      <c r="G30" s="20" t="n">
        <v>2624</v>
      </c>
      <c r="H30" s="34">
        <f>H29*Assumptions!C21</f>
        <v/>
      </c>
      <c r="I30" s="34">
        <f>I29*Assumptions!D21</f>
        <v/>
      </c>
      <c r="J30" s="34">
        <f>J29*Assumptions!E21</f>
        <v/>
      </c>
      <c r="K30" s="34">
        <f>K29*Assumptions!F21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s="2" t="inlineStr">
        <is>
          <t>Gross profit</t>
        </is>
      </c>
      <c r="B31" s="12">
        <f>B29-B30</f>
        <v/>
      </c>
      <c r="C31" s="12">
        <f>C29-C30</f>
        <v/>
      </c>
      <c r="D31" s="12">
        <f>D29-D30</f>
        <v/>
      </c>
      <c r="E31" s="12">
        <f>E29-E30</f>
        <v/>
      </c>
      <c r="F31" s="12">
        <f>F29-F30</f>
        <v/>
      </c>
      <c r="G31" s="12">
        <f>G29-G30</f>
        <v/>
      </c>
      <c r="H31" s="31">
        <f>H29-H30</f>
        <v/>
      </c>
      <c r="I31" s="31">
        <f>I29-I30</f>
        <v/>
      </c>
      <c r="J31" s="31">
        <f>J29-J30</f>
        <v/>
      </c>
      <c r="K31" s="31">
        <f>K29-K30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t="inlineStr">
        <is>
          <t>R&amp;D</t>
        </is>
      </c>
      <c r="B32" s="20" t="n">
        <v>1721.2</v>
      </c>
      <c r="C32" s="20" t="n">
        <v>1879</v>
      </c>
      <c r="D32" s="20" t="n">
        <v>2247</v>
      </c>
      <c r="E32" s="20" t="n">
        <v>2464</v>
      </c>
      <c r="F32" s="20" t="n">
        <v>2626</v>
      </c>
      <c r="G32" s="20" t="n">
        <v>2679</v>
      </c>
      <c r="H32" s="34">
        <f>H29*Assumptions!C25</f>
        <v/>
      </c>
      <c r="I32" s="34">
        <f>I29*Assumptions!D25</f>
        <v/>
      </c>
      <c r="J32" s="34">
        <f>J29*Assumptions!E25</f>
        <v/>
      </c>
      <c r="K32" s="34">
        <f>K29*Assumptions!F25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3">
      <c r="A33" t="inlineStr">
        <is>
          <t>S&amp;M</t>
        </is>
      </c>
      <c r="B33" s="20" t="n">
        <v>1233.2</v>
      </c>
      <c r="C33" s="20" t="n">
        <v>1462</v>
      </c>
      <c r="D33" s="20" t="n">
        <v>1842</v>
      </c>
      <c r="E33" s="20" t="n">
        <v>2139</v>
      </c>
      <c r="F33" s="20" t="n">
        <v>2432</v>
      </c>
      <c r="G33" s="20" t="n">
        <v>2616</v>
      </c>
      <c r="H33" s="34">
        <f>H29*Assumptions!C29</f>
        <v/>
      </c>
      <c r="I33" s="34">
        <f>I29*Assumptions!D29</f>
        <v/>
      </c>
      <c r="J33" s="34">
        <f>J29*Assumptions!E29</f>
        <v/>
      </c>
      <c r="K33" s="34">
        <f>K29*Assumptions!F29</f>
        <v/>
      </c>
      <c r="M33" s="10">
        <f>IFERROR(IF(OR(B33&lt;=0,F33&lt;=0),"N/M",(F33/B33)^(1/4)-1), "N/M")</f>
        <v/>
      </c>
      <c r="N33" s="10">
        <f>IFERROR(IF(OR(G33&lt;=0,K33&lt;=0),"N/M",(K33/G33)^(1/4)-1), "N/M")</f>
        <v/>
      </c>
    </row>
    <row r="34">
      <c r="A34" t="inlineStr">
        <is>
          <t>G&amp;A</t>
        </is>
      </c>
      <c r="B34" s="20" t="n">
        <v>414.1</v>
      </c>
      <c r="C34" s="20" t="n">
        <v>486</v>
      </c>
      <c r="D34" s="20" t="n">
        <v>599</v>
      </c>
      <c r="E34" s="20" t="n">
        <v>702</v>
      </c>
      <c r="F34" s="20" t="n">
        <v>820</v>
      </c>
      <c r="G34" s="20" t="n">
        <v>912</v>
      </c>
      <c r="H34" s="34">
        <f>H29*Assumptions!C33</f>
        <v/>
      </c>
      <c r="I34" s="34">
        <f>I29*Assumptions!D33</f>
        <v/>
      </c>
      <c r="J34" s="34">
        <f>J29*Assumptions!E33</f>
        <v/>
      </c>
      <c r="K34" s="34">
        <f>K29*Assumptions!F33</f>
        <v/>
      </c>
      <c r="M34" s="10">
        <f>IFERROR(IF(OR(B34&lt;=0,F34&lt;=0),"N/M",(F34/B34)^(1/4)-1), "N/M")</f>
        <v/>
      </c>
      <c r="N34" s="10">
        <f>IFERROR(IF(OR(G34&lt;=0,K34&lt;=0),"N/M",(K34/G34)^(1/4)-1), "N/M")</f>
        <v/>
      </c>
    </row>
    <row r="35">
      <c r="A35" s="2" t="inlineStr">
        <is>
          <t>Operating income</t>
        </is>
      </c>
      <c r="B35" s="20" t="n">
        <v>-248.6</v>
      </c>
      <c r="C35" s="20" t="n">
        <v>-116</v>
      </c>
      <c r="D35" s="20" t="n">
        <v>-222</v>
      </c>
      <c r="E35" s="20" t="n">
        <v>183</v>
      </c>
      <c r="F35" s="20" t="n">
        <v>415</v>
      </c>
      <c r="G35" s="20" t="n">
        <v>721</v>
      </c>
      <c r="H35" s="34">
        <f>H31-H32-H33-H34-280</f>
        <v/>
      </c>
      <c r="I35" s="34">
        <f>I31-I32-I33-I34-300</f>
        <v/>
      </c>
      <c r="J35" s="34">
        <f>J31-J32-J33-J34-320</f>
        <v/>
      </c>
      <c r="K35" s="34">
        <f>K31-K32-K33-K34-340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Operating margin %</t>
        </is>
      </c>
      <c r="B36" s="10">
        <f>IFERROR(B35/B29,"")</f>
        <v/>
      </c>
      <c r="C36" s="10">
        <f>IFERROR(C35/C29,"")</f>
        <v/>
      </c>
      <c r="D36" s="10">
        <f>IFERROR(D35/D29,"")</f>
        <v/>
      </c>
      <c r="E36" s="10">
        <f>IFERROR(E35/E29,"")</f>
        <v/>
      </c>
      <c r="F36" s="10">
        <f>IFERROR(F35/F29,"")</f>
        <v/>
      </c>
      <c r="G36" s="10">
        <f>IFERROR(G35/G29,"")</f>
        <v/>
      </c>
      <c r="H36" s="33">
        <f>IFERROR(H35/H29,"")</f>
        <v/>
      </c>
      <c r="I36" s="33">
        <f>IFERROR(I35/I29,"")</f>
        <v/>
      </c>
      <c r="J36" s="33">
        <f>IFERROR(J35/J29,"")</f>
        <v/>
      </c>
      <c r="K36" s="33">
        <f>IFERROR(K35/K29,"")</f>
        <v/>
      </c>
      <c r="M36" s="35">
        <f>IFERROR(F36-B36, "")</f>
        <v/>
      </c>
      <c r="N36" s="35">
        <f>IFERROR(K36-G36, "")</f>
        <v/>
      </c>
    </row>
    <row r="37">
      <c r="A37" t="inlineStr">
        <is>
          <t>Net income (GAAP)</t>
        </is>
      </c>
      <c r="B37" s="20" t="n">
        <v>-282.4</v>
      </c>
      <c r="C37" s="20" t="n">
        <v>29</v>
      </c>
      <c r="D37" s="20" t="n">
        <v>-367</v>
      </c>
      <c r="E37" s="20" t="n">
        <v>1381</v>
      </c>
      <c r="F37" s="20" t="n">
        <v>526</v>
      </c>
      <c r="G37" s="20" t="n">
        <v>693</v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Cash Flow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t="inlineStr">
        <is>
          <t>Cash from operations</t>
        </is>
      </c>
      <c r="B40" s="13" t="n">
        <v>1268.4</v>
      </c>
      <c r="C40" s="13" t="n">
        <v>1651</v>
      </c>
      <c r="D40" s="13" t="n">
        <v>1657</v>
      </c>
      <c r="E40" s="13" t="n">
        <v>2149</v>
      </c>
      <c r="F40" s="13" t="n">
        <v>2461</v>
      </c>
      <c r="G40" s="13" t="n">
        <v>2939</v>
      </c>
      <c r="H40" s="31">
        <f>H29*Assumptions!C41</f>
        <v/>
      </c>
      <c r="I40" s="31">
        <f>I29*Assumptions!D41</f>
        <v/>
      </c>
      <c r="J40" s="31">
        <f>J29*Assumptions!E41</f>
        <v/>
      </c>
      <c r="K40" s="31">
        <f>K29*Assumptions!F41</f>
        <v/>
      </c>
      <c r="M40" s="10">
        <f>IFERROR(IF(OR(B40&lt;=0,F40&lt;=0),"N/M",(F40/B40)^(1/4)-1), "N/M")</f>
        <v/>
      </c>
      <c r="N40" s="10">
        <f>IFERROR(IF(OR(G40&lt;=0,K40&lt;=0),"N/M",(K40/G40)^(1/4)-1), "N/M")</f>
        <v/>
      </c>
    </row>
    <row r="41">
      <c r="A41" t="inlineStr">
        <is>
          <t>Capex (~2% rev)</t>
        </is>
      </c>
      <c r="B41" s="20" t="n"/>
      <c r="C41" s="20" t="n"/>
      <c r="D41" s="20" t="n">
        <v>364</v>
      </c>
      <c r="E41" s="20" t="n">
        <v>232</v>
      </c>
      <c r="F41" s="20" t="n">
        <v>269</v>
      </c>
      <c r="G41" s="20" t="n">
        <v>162</v>
      </c>
      <c r="H41" s="34">
        <f>H29*0.02</f>
        <v/>
      </c>
      <c r="I41" s="34">
        <f>I29*0.02</f>
        <v/>
      </c>
      <c r="J41" s="34">
        <f>J29*0.02</f>
        <v/>
      </c>
      <c r="K41" s="34">
        <f>K29*0.02</f>
        <v/>
      </c>
      <c r="M41" s="10">
        <f>IFERROR(IF(OR(B41&lt;=0,F41&lt;=0),"N/M",(F41/B41)^(1/4)-1), "N/M")</f>
        <v/>
      </c>
      <c r="N41" s="10">
        <f>IFERROR(IF(OR(G41&lt;=0,K41&lt;=0),"N/M",(K41/G41)^(1/4)-1), "N/M")</f>
        <v/>
      </c>
    </row>
    <row r="42">
      <c r="A42" s="2" t="inlineStr">
        <is>
          <t>Free cash flow</t>
        </is>
      </c>
      <c r="B42" s="12">
        <f>IFERROR(B40-B41,B40)</f>
        <v/>
      </c>
      <c r="C42" s="12">
        <f>IFERROR(C40-C41,C40)</f>
        <v/>
      </c>
      <c r="D42" s="12">
        <f>IFERROR(D40-D41,D40)</f>
        <v/>
      </c>
      <c r="E42" s="12">
        <f>IFERROR(E40-E41,E40)</f>
        <v/>
      </c>
      <c r="F42" s="12">
        <f>IFERROR(F40-F41,F40)</f>
        <v/>
      </c>
      <c r="G42" s="12">
        <f>IFERROR(G40-G41,G40)</f>
        <v/>
      </c>
      <c r="H42" s="31">
        <f>IFERROR(H40-H41,H40)</f>
        <v/>
      </c>
      <c r="I42" s="31">
        <f>IFERROR(I40-I41,I40)</f>
        <v/>
      </c>
      <c r="J42" s="31">
        <f>IFERROR(J40-J41,J40)</f>
        <v/>
      </c>
      <c r="K42" s="31">
        <f>IFERROR(K40-K41,K40)</f>
        <v/>
      </c>
      <c r="M42" s="10">
        <f>IFERROR(IF(OR(B42&lt;=0,F42&lt;=0),"N/M",(F42/B42)^(1/4)-1), "N/M")</f>
        <v/>
      </c>
      <c r="N42" s="10">
        <f>IFERROR(IF(OR(G42&lt;=0,K42&lt;=0),"N/M",(K42/G42)^(1/4)-1), "N/M")</f>
        <v/>
      </c>
    </row>
    <row r="43">
      <c r="A43" t="inlineStr">
        <is>
          <t>SBC</t>
        </is>
      </c>
      <c r="B43" s="20" t="n">
        <v>1004.9</v>
      </c>
      <c r="C43" s="20" t="n">
        <v>1101</v>
      </c>
      <c r="D43" s="20" t="n">
        <v>1295</v>
      </c>
      <c r="E43" s="20" t="n">
        <v>1416</v>
      </c>
      <c r="F43" s="20" t="n">
        <v>1519</v>
      </c>
      <c r="G43" s="20" t="n">
        <v>1626</v>
      </c>
      <c r="H43" s="34">
        <f>H29*Assumptions!C37</f>
        <v/>
      </c>
      <c r="I43" s="34">
        <f>I29*Assumptions!D37</f>
        <v/>
      </c>
      <c r="J43" s="34">
        <f>J29*Assumptions!E37</f>
        <v/>
      </c>
      <c r="K43" s="34">
        <f>K29*Assumptions!F37</f>
        <v/>
      </c>
      <c r="M43" s="10">
        <f>IFERROR(IF(OR(B43&lt;=0,F43&lt;=0),"N/M",(F43/B43)^(1/4)-1), "N/M")</f>
        <v/>
      </c>
      <c r="N43" s="10">
        <f>IFERROR(IF(OR(G43&lt;=0,K43&lt;=0),"N/M",(K43/G43)^(1/4)-1), "N/M")</f>
        <v/>
      </c>
    </row>
    <row r="44">
      <c r="A44" s="2" t="inlineStr">
        <is>
          <t>FCF − SBC</t>
        </is>
      </c>
      <c r="B44" s="22">
        <f>B42-B43</f>
        <v/>
      </c>
      <c r="C44" s="22">
        <f>C42-C43</f>
        <v/>
      </c>
      <c r="D44" s="22">
        <f>D42-D43</f>
        <v/>
      </c>
      <c r="E44" s="22">
        <f>E42-E43</f>
        <v/>
      </c>
      <c r="F44" s="22">
        <f>F42-F43</f>
        <v/>
      </c>
      <c r="G44" s="22">
        <f>G42-G43</f>
        <v/>
      </c>
      <c r="H44" s="34">
        <f>H42-H43</f>
        <v/>
      </c>
      <c r="I44" s="34">
        <f>I42-I43</f>
        <v/>
      </c>
      <c r="J44" s="34">
        <f>J42-J43</f>
        <v/>
      </c>
      <c r="K44" s="34">
        <f>K42-K43</f>
        <v/>
      </c>
      <c r="M44" s="10">
        <f>IFERROR(IF(OR(B44&lt;=0,F44&lt;=0),"N/M",(F44/B44)^(1/4)-1), "N/M")</f>
        <v/>
      </c>
      <c r="N44" s="10">
        <f>IFERROR(IF(OR(G44&lt;=0,K44&lt;=0),"N/M",(K44/G44)^(1/4)-1), "N/M")</f>
        <v/>
      </c>
    </row>
    <row r="46">
      <c r="A46" s="3" t="inlineStr">
        <is>
          <t>Per-share</t>
        </is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</row>
    <row r="47">
      <c r="A47" t="inlineStr">
        <is>
          <t>Diluted shares (M)</t>
        </is>
      </c>
      <c r="B47" s="11" t="n">
        <v>237</v>
      </c>
      <c r="C47" s="11" t="n">
        <v>254</v>
      </c>
      <c r="D47" s="11" t="n">
        <v>254.8</v>
      </c>
      <c r="E47" s="11" t="n">
        <v>265.3</v>
      </c>
      <c r="F47" s="11" t="n">
        <v>269.2</v>
      </c>
      <c r="G47" s="11" t="n">
        <v>268.1</v>
      </c>
      <c r="H47" s="29">
        <f>G47*(1-Assumptions!C45)</f>
        <v/>
      </c>
      <c r="I47" s="29">
        <f>H47*(1-Assumptions!D45)</f>
        <v/>
      </c>
      <c r="J47" s="29">
        <f>I47*(1-Assumptions!E45)</f>
        <v/>
      </c>
      <c r="K47" s="29">
        <f>J47*(1-Assumptions!F45)</f>
        <v/>
      </c>
      <c r="M47" s="10">
        <f>IFERROR(IF(OR(B47&lt;=0,F47&lt;=0),"N/M",(F47/B47)^(1/4)-1), "N/M")</f>
        <v/>
      </c>
      <c r="N47" s="10">
        <f>IFERROR(IF(OR(G47&lt;=0,K47&lt;=0),"N/M",(K47/G47)^(1/4)-1), "N/M")</f>
        <v/>
      </c>
    </row>
    <row r="48">
      <c r="A48" t="inlineStr">
        <is>
          <t>FCF / share</t>
        </is>
      </c>
      <c r="B48" s="6">
        <f>IFERROR(B42/B47,"")</f>
        <v/>
      </c>
      <c r="C48" s="6">
        <f>IFERROR(C42/C47,"")</f>
        <v/>
      </c>
      <c r="D48" s="6">
        <f>IFERROR(D42/D47,"")</f>
        <v/>
      </c>
      <c r="E48" s="6">
        <f>IFERROR(E42/E47,"")</f>
        <v/>
      </c>
      <c r="F48" s="6">
        <f>IFERROR(F42/F47,"")</f>
        <v/>
      </c>
      <c r="G48" s="6">
        <f>IFERROR(G42/G47,"")</f>
        <v/>
      </c>
      <c r="H48" s="30">
        <f>IFERROR(H42/H47,"")</f>
        <v/>
      </c>
      <c r="I48" s="30">
        <f>IFERROR(I42/I47,"")</f>
        <v/>
      </c>
      <c r="J48" s="30">
        <f>IFERROR(J42/J47,"")</f>
        <v/>
      </c>
      <c r="K48" s="30">
        <f>IFERROR(K42/K47,"")</f>
        <v/>
      </c>
      <c r="M48" s="10">
        <f>IFERROR(IF(OR(B48&lt;=0,F48&lt;=0),"N/M",(F48/B48)^(1/4)-1), "N/M")</f>
        <v/>
      </c>
      <c r="N48" s="10">
        <f>IFERROR(IF(OR(G48&lt;=0,K48&lt;=0),"N/M",(K48/G48)^(1/4)-1), "N/M")</f>
        <v/>
      </c>
    </row>
    <row r="49">
      <c r="A49" t="inlineStr">
        <is>
          <t>12-mo backlog ($M)</t>
        </is>
      </c>
      <c r="E49" s="13" t="n">
        <v>6602</v>
      </c>
      <c r="F49" s="13" t="n">
        <v>7631</v>
      </c>
      <c r="G49" s="13" t="n">
        <v>8833</v>
      </c>
      <c r="H49" s="31">
        <f>G49*(1+Assumptions!C17)</f>
        <v/>
      </c>
      <c r="I49" s="31">
        <f>H49*(1+Assumptions!D17)</f>
        <v/>
      </c>
      <c r="J49" s="31">
        <f>I49*(1+Assumptions!E17)</f>
        <v/>
      </c>
      <c r="K49" s="31">
        <f>J49*(1+Assumptions!F17)</f>
        <v/>
      </c>
      <c r="M49" s="10">
        <f>IFERROR(IF(OR(B49&lt;=0,F49&lt;=0),"N/M",(F49/B49)^(1/4)-1), "N/M")</f>
        <v/>
      </c>
      <c r="N49" s="10">
        <f>IFERROR(IF(OR(G49&lt;=0,K49&lt;=0),"N/M",(K49/G49)^(1/4)-1), "N/M")</f>
        <v/>
      </c>
    </row>
    <row r="51">
      <c r="A51" s="3" t="inlineStr">
        <is>
          <t>Valuation (terminal = FY30)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</row>
    <row r="52">
      <c r="A52" s="2" t="inlineStr">
        <is>
          <t>Target ($/sh, ARR-lens)</t>
        </is>
      </c>
      <c r="K52" s="32">
        <f>(Assumptions!C49*K49+Assumptions!B7*1000)/K47</f>
        <v/>
      </c>
    </row>
    <row r="53">
      <c r="A53" s="2" t="inlineStr">
        <is>
          <t>Target ($/sh, FCF-lens)</t>
        </is>
      </c>
      <c r="K53" s="32">
        <f>(Assumptions!C52*K42+Assumptions!B7*1000)/K47</f>
        <v/>
      </c>
    </row>
    <row r="54">
      <c r="A54" s="2" t="inlineStr">
        <is>
          <t>Target (blended)</t>
        </is>
      </c>
      <c r="K54" s="36">
        <f>AVERAGE(K52,K53)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708.15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124.93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69.15000000000001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6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577.92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0.647</v>
      </c>
      <c r="P5" s="11" t="n">
        <v>268</v>
      </c>
      <c r="Q5" s="11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708.15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0.53</v>
      </c>
      <c r="P6" s="11" t="n">
        <v>268</v>
      </c>
      <c r="Q6" s="11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125.26</v>
      </c>
      <c r="F7" s="7">
        <f>E7-D7</f>
        <v/>
      </c>
      <c r="G7" s="6" t="n">
        <v>11.78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0.019</v>
      </c>
      <c r="P7" s="11" t="n">
        <v>268</v>
      </c>
      <c r="Q7" s="11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124.93</v>
      </c>
      <c r="F8" s="7">
        <f>E8-D8</f>
        <v/>
      </c>
      <c r="G8" s="6" t="n">
        <v>18.94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0.027</v>
      </c>
      <c r="P8" s="11" t="n">
        <v>268</v>
      </c>
      <c r="Q8" s="11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74.88</v>
      </c>
      <c r="F9" s="7">
        <f>E9-D9</f>
        <v/>
      </c>
      <c r="G9" s="6" t="n">
        <v>3.39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-0.154</v>
      </c>
      <c r="P9" s="11" t="n">
        <v>268</v>
      </c>
      <c r="Q9" s="11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69.15000000000001</v>
      </c>
      <c r="F10" s="7">
        <f>E10-D10</f>
        <v/>
      </c>
      <c r="G10" s="6" t="n">
        <v>5.48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-0.128</v>
      </c>
      <c r="P10" s="11" t="n">
        <v>268</v>
      </c>
      <c r="Q10" s="11" t="n">
        <v>232.4</v>
      </c>
    </row>
    <row r="12">
      <c r="A12" s="2" t="inlineStr">
        <is>
          <t>Probability-weighted FY29 TSR</t>
        </is>
      </c>
      <c r="M12" s="9" t="n">
        <v>1.116</v>
      </c>
    </row>
    <row r="13">
      <c r="A13" s="2" t="inlineStr">
        <is>
          <t>Probability-weighted FY30 TSR</t>
        </is>
      </c>
      <c r="M13" s="9" t="n">
        <v>1.479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0.1466</v>
      </c>
      <c r="D6" s="10" t="n">
        <v>0.0733</v>
      </c>
      <c r="E6" s="10" t="n">
        <v>0.044</v>
      </c>
      <c r="F6" s="10" t="n">
        <v>0.0293</v>
      </c>
      <c r="G6" s="9" t="n">
        <v>0</v>
      </c>
      <c r="H6" s="13" t="n">
        <v>10128</v>
      </c>
      <c r="I6" s="13" t="n">
        <v>0</v>
      </c>
      <c r="J6" s="13" t="n">
        <v>647</v>
      </c>
    </row>
    <row r="7">
      <c r="A7" t="inlineStr">
        <is>
          <t>FY2028</t>
        </is>
      </c>
      <c r="B7" s="10" t="n">
        <v>0.08</v>
      </c>
      <c r="C7" s="10" t="n">
        <v>0.1333</v>
      </c>
      <c r="D7" s="10" t="n">
        <v>0.0266</v>
      </c>
      <c r="E7" s="10" t="n">
        <v>0.016</v>
      </c>
      <c r="F7" s="10" t="n">
        <v>0.0107</v>
      </c>
      <c r="G7" s="9" t="n">
        <v>0.08</v>
      </c>
      <c r="H7" s="13" t="n">
        <v>11477</v>
      </c>
      <c r="I7" s="13" t="n">
        <v>810</v>
      </c>
      <c r="J7" s="13" t="n">
        <v>270</v>
      </c>
    </row>
    <row r="8">
      <c r="A8" t="inlineStr">
        <is>
          <t>FY2029</t>
        </is>
      </c>
      <c r="B8" s="10" t="n">
        <v>0.18</v>
      </c>
      <c r="C8" s="10" t="n">
        <v>0.1266</v>
      </c>
      <c r="D8" s="10" t="n">
        <v>0.0133</v>
      </c>
      <c r="E8" s="10" t="n">
        <v>0.008</v>
      </c>
      <c r="F8" s="10" t="n">
        <v>0.0053</v>
      </c>
      <c r="G8" s="9" t="n">
        <v>0.1</v>
      </c>
      <c r="H8" s="13" t="n">
        <v>12930</v>
      </c>
      <c r="I8" s="13" t="n">
        <v>1148</v>
      </c>
      <c r="J8" s="13" t="n">
        <v>153</v>
      </c>
    </row>
    <row r="9">
      <c r="A9" t="inlineStr">
        <is>
          <t>FY2030</t>
        </is>
      </c>
      <c r="B9" s="10" t="n">
        <v>0.3</v>
      </c>
      <c r="C9" s="10" t="n">
        <v>0.1133</v>
      </c>
      <c r="D9" s="10" t="n">
        <v>-0.0034</v>
      </c>
      <c r="E9" s="10" t="n">
        <v>-0.002</v>
      </c>
      <c r="F9" s="10" t="n">
        <v>-0.0013</v>
      </c>
      <c r="G9" s="9" t="n">
        <v>0.12</v>
      </c>
      <c r="H9" s="13" t="n">
        <v>14395</v>
      </c>
      <c r="I9" s="13" t="n">
        <v>1552</v>
      </c>
      <c r="J9" s="13" t="n">
        <v>-43</v>
      </c>
    </row>
    <row r="11">
      <c r="A11" s="3" t="inlineStr">
        <is>
          <t>Runs For Cash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0.0267</v>
      </c>
      <c r="E13" s="10" t="n">
        <v>0.016</v>
      </c>
      <c r="F13" s="10" t="n">
        <v>0.0107</v>
      </c>
      <c r="G13" s="9" t="n">
        <v>0</v>
      </c>
      <c r="H13" s="13" t="n">
        <v>9304</v>
      </c>
      <c r="I13" s="13" t="n">
        <v>0</v>
      </c>
      <c r="J13" s="13" t="n">
        <v>236</v>
      </c>
    </row>
    <row r="14">
      <c r="A14" t="inlineStr">
        <is>
          <t>FY2028</t>
        </is>
      </c>
      <c r="B14" s="10" t="n">
        <v>0.05</v>
      </c>
      <c r="C14" s="10" t="n">
        <v>-0.0333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3" t="n">
        <v>8994</v>
      </c>
      <c r="I14" s="13" t="n">
        <v>465</v>
      </c>
      <c r="J14" s="13" t="n">
        <v>-388</v>
      </c>
    </row>
    <row r="15">
      <c r="A15" t="inlineStr">
        <is>
          <t>FY2029</t>
        </is>
      </c>
      <c r="B15" s="10" t="n">
        <v>0.12</v>
      </c>
      <c r="C15" s="10" t="n">
        <v>-0.09329999999999999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3" t="n">
        <v>8155</v>
      </c>
      <c r="I15" s="13" t="n">
        <v>630</v>
      </c>
      <c r="J15" s="13" t="n">
        <v>-734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3" t="n">
        <v>7340</v>
      </c>
      <c r="I16" s="13" t="n">
        <v>652</v>
      </c>
      <c r="J16" s="13" t="n">
        <v>-734</v>
      </c>
    </row>
    <row r="18">
      <c r="A18" s="3" t="inlineStr">
        <is>
          <t>What Goes Wrong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-0.0233</v>
      </c>
      <c r="E20" s="10" t="n">
        <v>-0.014</v>
      </c>
      <c r="F20" s="10" t="n">
        <v>-0.009300000000000001</v>
      </c>
      <c r="G20" s="9" t="n">
        <v>0</v>
      </c>
      <c r="H20" s="13" t="n">
        <v>8421</v>
      </c>
      <c r="I20" s="13" t="n">
        <v>0</v>
      </c>
      <c r="J20" s="13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-0.0633</v>
      </c>
      <c r="E21" s="10" t="n">
        <v>-0.038</v>
      </c>
      <c r="F21" s="10" t="n">
        <v>-0.0253</v>
      </c>
      <c r="G21" s="9" t="n">
        <v>0.03</v>
      </c>
      <c r="H21" s="13" t="n">
        <v>7607</v>
      </c>
      <c r="I21" s="13" t="n">
        <v>253</v>
      </c>
      <c r="J21" s="13" t="n">
        <v>-533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-0.07829999999999999</v>
      </c>
      <c r="E22" s="10" t="n">
        <v>-0.047</v>
      </c>
      <c r="F22" s="10" t="n">
        <v>-0.0313</v>
      </c>
      <c r="G22" s="9" t="n">
        <v>0.05</v>
      </c>
      <c r="H22" s="13" t="n">
        <v>6796</v>
      </c>
      <c r="I22" s="13" t="n">
        <v>380</v>
      </c>
      <c r="J22" s="13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-0.0833</v>
      </c>
      <c r="E23" s="10" t="n">
        <v>-0.05</v>
      </c>
      <c r="F23" s="10" t="n">
        <v>-0.0333</v>
      </c>
      <c r="G23" s="9" t="n">
        <v>0.07000000000000001</v>
      </c>
      <c r="H23" s="13" t="n">
        <v>6139</v>
      </c>
      <c r="I23" s="13" t="n">
        <v>476</v>
      </c>
      <c r="J23" s="13" t="n">
        <v>-566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Sensitivity grids (price &amp; FCF/share)</t>
        </is>
      </c>
    </row>
    <row r="2">
      <c r="A2" t="inlineStr">
        <is>
          <t>Three grids stacked vertically. Pricing × Margin grid below shows FCF/share; the other two show FY30 price targets shaded by implied return.</t>
        </is>
      </c>
    </row>
    <row r="4">
      <c r="A4" s="37" t="inlineStr">
        <is>
          <t>SBC compression × exit multiple → FY30 share price</t>
        </is>
      </c>
      <c r="B4" s="18" t="n"/>
      <c r="C4" s="18" t="n"/>
      <c r="D4" s="18" t="n"/>
      <c r="E4" s="18" t="n"/>
      <c r="F4" s="18" t="n"/>
      <c r="G4" s="18" t="n"/>
    </row>
    <row r="5">
      <c r="A5" s="38" t="inlineStr">
        <is>
          <t>SBC % of revenue (FY30)  ↓  ×  FCF exit multiple  →</t>
        </is>
      </c>
    </row>
    <row r="6">
      <c r="A6" s="2" t="inlineStr">
        <is>
          <t>SBC % of revenue (FY30) ↓</t>
        </is>
      </c>
      <c r="B6" s="17" t="inlineStr">
        <is>
          <t>16×</t>
        </is>
      </c>
      <c r="C6" s="17" t="inlineStr">
        <is>
          <t>18×</t>
        </is>
      </c>
      <c r="D6" s="17" t="inlineStr">
        <is>
          <t>20×</t>
        </is>
      </c>
      <c r="E6" s="17" t="inlineStr">
        <is>
          <t>22×</t>
        </is>
      </c>
      <c r="F6" s="17" t="inlineStr">
        <is>
          <t>24×</t>
        </is>
      </c>
      <c r="G6" s="17" t="inlineStr">
        <is>
          <t>26×</t>
        </is>
      </c>
    </row>
    <row r="7">
      <c r="A7" s="3" t="inlineStr">
        <is>
          <t>+16%</t>
        </is>
      </c>
      <c r="B7" s="39" t="n">
        <v>240.44</v>
      </c>
      <c r="C7" s="39" t="n">
        <v>269.67</v>
      </c>
      <c r="D7" s="39" t="n">
        <v>298.9</v>
      </c>
      <c r="E7" s="40" t="n">
        <v>328.13</v>
      </c>
      <c r="F7" s="40" t="n">
        <v>357.36</v>
      </c>
      <c r="G7" s="40" t="n">
        <v>386.58</v>
      </c>
    </row>
    <row r="8">
      <c r="A8" s="3" t="inlineStr">
        <is>
          <t>+14%</t>
        </is>
      </c>
      <c r="B8" s="39" t="n">
        <v>262.72</v>
      </c>
      <c r="C8" s="39" t="n">
        <v>294.73</v>
      </c>
      <c r="D8" s="40" t="n">
        <v>326.74</v>
      </c>
      <c r="E8" s="40" t="n">
        <v>358.75</v>
      </c>
      <c r="F8" s="40" t="n">
        <v>390.76</v>
      </c>
      <c r="G8" s="40" t="n">
        <v>422.78</v>
      </c>
    </row>
    <row r="9">
      <c r="A9" s="3" t="inlineStr">
        <is>
          <t>+12%</t>
        </is>
      </c>
      <c r="B9" s="39" t="n">
        <v>284.99</v>
      </c>
      <c r="C9" s="39" t="n">
        <v>319.78</v>
      </c>
      <c r="D9" s="40" t="n">
        <v>354.58</v>
      </c>
      <c r="E9" s="40" t="n">
        <v>389.38</v>
      </c>
      <c r="F9" s="40" t="n">
        <v>424.17</v>
      </c>
      <c r="G9" s="40" t="n">
        <v>458.97</v>
      </c>
    </row>
    <row r="10">
      <c r="A10" s="3" t="inlineStr">
        <is>
          <t>+10%</t>
        </is>
      </c>
      <c r="B10" s="39" t="n">
        <v>307.26</v>
      </c>
      <c r="C10" s="40" t="n">
        <v>344.84</v>
      </c>
      <c r="D10" s="40" t="n">
        <v>382.42</v>
      </c>
      <c r="E10" s="40" t="n">
        <v>420</v>
      </c>
      <c r="F10" s="40" t="n">
        <v>457.58</v>
      </c>
      <c r="G10" s="40" t="n">
        <v>495.16</v>
      </c>
    </row>
    <row r="11">
      <c r="A11" s="3" t="inlineStr">
        <is>
          <t>+8%</t>
        </is>
      </c>
      <c r="B11" s="40" t="n">
        <v>329.53</v>
      </c>
      <c r="C11" s="40" t="n">
        <v>369.9</v>
      </c>
      <c r="D11" s="40" t="n">
        <v>410.26</v>
      </c>
      <c r="E11" s="40" t="n">
        <v>450.62</v>
      </c>
      <c r="F11" s="40" t="n">
        <v>490.99</v>
      </c>
      <c r="G11" s="40" t="n">
        <v>531.35</v>
      </c>
    </row>
    <row r="13">
      <c r="A13" s="37" t="inlineStr">
        <is>
          <t>Subscription growth × exit multiple → FY30 share price</t>
        </is>
      </c>
      <c r="B13" s="18" t="n"/>
      <c r="C13" s="18" t="n"/>
      <c r="D13" s="18" t="n"/>
      <c r="E13" s="18" t="n"/>
      <c r="F13" s="18" t="n"/>
      <c r="G13" s="18" t="n"/>
    </row>
    <row r="14">
      <c r="A14" s="38" t="inlineStr">
        <is>
          <t>4-yr subscription growth CAGR  ↓  ×  FCF exit multiple  →</t>
        </is>
      </c>
    </row>
    <row r="15">
      <c r="A15" s="2" t="inlineStr">
        <is>
          <t>4-yr subscription growth CAGR ↓</t>
        </is>
      </c>
      <c r="B15" s="17" t="inlineStr">
        <is>
          <t>10×</t>
        </is>
      </c>
      <c r="C15" s="17" t="inlineStr">
        <is>
          <t>14×</t>
        </is>
      </c>
      <c r="D15" s="17" t="inlineStr">
        <is>
          <t>18×</t>
        </is>
      </c>
      <c r="E15" s="17" t="inlineStr">
        <is>
          <t>22×</t>
        </is>
      </c>
      <c r="F15" s="17" t="inlineStr">
        <is>
          <t>26×</t>
        </is>
      </c>
      <c r="G15" s="17" t="inlineStr">
        <is>
          <t>30×</t>
        </is>
      </c>
    </row>
    <row r="16">
      <c r="A16" s="3" t="inlineStr">
        <is>
          <t>-5%</t>
        </is>
      </c>
      <c r="B16" s="41" t="n">
        <v>117.9</v>
      </c>
      <c r="C16" s="36" t="n">
        <v>162.41</v>
      </c>
      <c r="D16" s="39" t="n">
        <v>206.93</v>
      </c>
      <c r="E16" s="39" t="n">
        <v>251.44</v>
      </c>
      <c r="F16" s="39" t="n">
        <v>295.95</v>
      </c>
      <c r="G16" s="40" t="n">
        <v>340.46</v>
      </c>
    </row>
    <row r="17">
      <c r="A17" s="3" t="inlineStr">
        <is>
          <t>+0%</t>
        </is>
      </c>
      <c r="B17" s="36" t="n">
        <v>143.24</v>
      </c>
      <c r="C17" s="39" t="n">
        <v>197.89</v>
      </c>
      <c r="D17" s="39" t="n">
        <v>252.54</v>
      </c>
      <c r="E17" s="39" t="n">
        <v>307.19</v>
      </c>
      <c r="F17" s="40" t="n">
        <v>361.84</v>
      </c>
      <c r="G17" s="40" t="n">
        <v>416.49</v>
      </c>
    </row>
    <row r="18">
      <c r="A18" s="3" t="inlineStr">
        <is>
          <t>+5%</t>
        </is>
      </c>
      <c r="B18" s="36" t="n">
        <v>172.69</v>
      </c>
      <c r="C18" s="39" t="n">
        <v>239.12</v>
      </c>
      <c r="D18" s="39" t="n">
        <v>305.54</v>
      </c>
      <c r="E18" s="40" t="n">
        <v>371.97</v>
      </c>
      <c r="F18" s="40" t="n">
        <v>438.4</v>
      </c>
      <c r="G18" s="40" t="n">
        <v>504.82</v>
      </c>
    </row>
    <row r="19">
      <c r="A19" s="3" t="inlineStr">
        <is>
          <t>+10%</t>
        </is>
      </c>
      <c r="B19" s="39" t="n">
        <v>206.65</v>
      </c>
      <c r="C19" s="39" t="n">
        <v>286.66</v>
      </c>
      <c r="D19" s="40" t="n">
        <v>366.68</v>
      </c>
      <c r="E19" s="40" t="n">
        <v>446.69</v>
      </c>
      <c r="F19" s="40" t="n">
        <v>526.7</v>
      </c>
      <c r="G19" s="40" t="n">
        <v>606.72</v>
      </c>
    </row>
    <row r="20">
      <c r="A20" s="3" t="inlineStr">
        <is>
          <t>+15%</t>
        </is>
      </c>
      <c r="B20" s="39" t="n">
        <v>245.58</v>
      </c>
      <c r="C20" s="40" t="n">
        <v>341.16</v>
      </c>
      <c r="D20" s="40" t="n">
        <v>436.74</v>
      </c>
      <c r="E20" s="40" t="n">
        <v>532.33</v>
      </c>
      <c r="F20" s="40" t="n">
        <v>627.91</v>
      </c>
      <c r="G20" s="40" t="n">
        <v>723.49</v>
      </c>
    </row>
    <row r="21">
      <c r="A21" s="3" t="inlineStr">
        <is>
          <t>+20%</t>
        </is>
      </c>
      <c r="B21" s="39" t="n">
        <v>289.92</v>
      </c>
      <c r="C21" s="40" t="n">
        <v>403.25</v>
      </c>
      <c r="D21" s="40" t="n">
        <v>516.5700000000001</v>
      </c>
      <c r="E21" s="40" t="n">
        <v>629.89</v>
      </c>
      <c r="F21" s="40" t="n">
        <v>743.21</v>
      </c>
      <c r="G21" s="40" t="n">
        <v>856.53</v>
      </c>
    </row>
    <row r="23">
      <c r="A23" s="37" t="inlineStr">
        <is>
          <t>Pricing transition × FY30 FCF margin → FY30 FCF/share</t>
        </is>
      </c>
      <c r="B23" s="18" t="n"/>
      <c r="C23" s="18" t="n"/>
      <c r="D23" s="18" t="n"/>
      <c r="E23" s="18" t="n"/>
      <c r="F23" s="18" t="n"/>
      <c r="G23" s="18" t="n"/>
    </row>
    <row r="24">
      <c r="A24" s="38" t="inlineStr">
        <is>
          <t>Consumption % of subscription (FY30)  ↓  ×  FCF margin  →</t>
        </is>
      </c>
    </row>
    <row r="25">
      <c r="A25" s="2" t="inlineStr">
        <is>
          <t>Consumption % of subscription (FY30) ↓</t>
        </is>
      </c>
      <c r="B25" s="17" t="inlineStr">
        <is>
          <t>+25%</t>
        </is>
      </c>
      <c r="C25" s="17" t="inlineStr">
        <is>
          <t>+30%</t>
        </is>
      </c>
      <c r="D25" s="17" t="inlineStr">
        <is>
          <t>+33%</t>
        </is>
      </c>
      <c r="E25" s="17" t="inlineStr">
        <is>
          <t>+36%</t>
        </is>
      </c>
      <c r="F25" s="17" t="inlineStr">
        <is>
          <t>+39%</t>
        </is>
      </c>
      <c r="G25" s="17" t="inlineStr">
        <is>
          <t>+42%</t>
        </is>
      </c>
    </row>
    <row r="26">
      <c r="A26" s="3" t="inlineStr">
        <is>
          <t>+0%</t>
        </is>
      </c>
      <c r="B26" s="6" t="n">
        <v>17.02</v>
      </c>
      <c r="C26" s="6" t="n">
        <v>20.42</v>
      </c>
      <c r="D26" s="6" t="n">
        <v>22.46</v>
      </c>
      <c r="E26" s="6" t="n">
        <v>24.5</v>
      </c>
      <c r="F26" s="6" t="n">
        <v>26.55</v>
      </c>
      <c r="G26" s="6" t="n">
        <v>28.59</v>
      </c>
    </row>
    <row r="27">
      <c r="A27" s="3" t="inlineStr">
        <is>
          <t>+10%</t>
        </is>
      </c>
      <c r="B27" s="6" t="n">
        <v>18.65</v>
      </c>
      <c r="C27" s="6" t="n">
        <v>22.38</v>
      </c>
      <c r="D27" s="6" t="n">
        <v>24.62</v>
      </c>
      <c r="E27" s="6" t="n">
        <v>26.86</v>
      </c>
      <c r="F27" s="6" t="n">
        <v>29.1</v>
      </c>
      <c r="G27" s="6" t="n">
        <v>31.33</v>
      </c>
    </row>
    <row r="28">
      <c r="A28" s="3" t="inlineStr">
        <is>
          <t>+20%</t>
        </is>
      </c>
      <c r="B28" s="6" t="n">
        <v>20.29</v>
      </c>
      <c r="C28" s="6" t="n">
        <v>24.34</v>
      </c>
      <c r="D28" s="6" t="n">
        <v>26.78</v>
      </c>
      <c r="E28" s="6" t="n">
        <v>29.21</v>
      </c>
      <c r="F28" s="6" t="n">
        <v>31.65</v>
      </c>
      <c r="G28" s="6" t="n">
        <v>34.08</v>
      </c>
    </row>
    <row r="29">
      <c r="A29" s="3" t="inlineStr">
        <is>
          <t>+30%</t>
        </is>
      </c>
      <c r="B29" s="6" t="n">
        <v>21.92</v>
      </c>
      <c r="C29" s="6" t="n">
        <v>26.3</v>
      </c>
      <c r="D29" s="6" t="n">
        <v>28.93</v>
      </c>
      <c r="E29" s="6" t="n">
        <v>31.56</v>
      </c>
      <c r="F29" s="6" t="n">
        <v>34.19</v>
      </c>
      <c r="G29" s="6" t="n">
        <v>36.82</v>
      </c>
    </row>
    <row r="30">
      <c r="A30" s="3" t="inlineStr">
        <is>
          <t>+40%</t>
        </is>
      </c>
      <c r="B30" s="6" t="n">
        <v>23.55</v>
      </c>
      <c r="C30" s="6" t="n">
        <v>28.26</v>
      </c>
      <c r="D30" s="6" t="n">
        <v>31.09</v>
      </c>
      <c r="E30" s="6" t="n">
        <v>33.92</v>
      </c>
      <c r="F30" s="6" t="n">
        <v>36.74</v>
      </c>
      <c r="G30" s="6" t="n">
        <v>39.57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9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9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9" t="inlineStr">
        <is>
          <t>AI ARR booked ($M)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 ($M)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Deferred balance ($M)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Booked − Recognized</t>
        </is>
      </c>
      <c r="B12" s="42" t="n">
        <v>240</v>
      </c>
      <c r="C12" s="42" t="n">
        <v>240</v>
      </c>
      <c r="D12" s="42" t="n">
        <v>161</v>
      </c>
      <c r="E12" s="42" t="n">
        <v>74</v>
      </c>
    </row>
    <row r="14">
      <c r="A14" s="3" t="inlineStr">
        <is>
          <t>Runs For Cash</t>
        </is>
      </c>
      <c r="B14" s="18" t="n"/>
      <c r="C14" s="18" t="n"/>
      <c r="D14" s="18" t="n"/>
      <c r="E14" s="18" t="n"/>
      <c r="F14" s="18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9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9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9" t="inlineStr">
        <is>
          <t>AI ARR booked ($M)</t>
        </is>
      </c>
      <c r="B18" s="13" t="n">
        <v>520</v>
      </c>
      <c r="C18" s="13" t="n">
        <v>598</v>
      </c>
      <c r="D18" s="13" t="n">
        <v>628</v>
      </c>
      <c r="E18" s="13" t="n">
        <v>628</v>
      </c>
    </row>
    <row r="19">
      <c r="A19" s="2" t="inlineStr">
        <is>
          <t>AI ARR recognized ($M)</t>
        </is>
      </c>
      <c r="B19" s="12" t="n">
        <v>416</v>
      </c>
      <c r="C19" s="12" t="n">
        <v>560</v>
      </c>
      <c r="D19" s="12" t="n">
        <v>662</v>
      </c>
      <c r="E19" s="12" t="n">
        <v>641</v>
      </c>
    </row>
    <row r="20">
      <c r="A20" s="19" t="inlineStr">
        <is>
          <t>Deferred balance ($M)</t>
        </is>
      </c>
      <c r="B20" s="20" t="n">
        <v>104</v>
      </c>
      <c r="C20" s="20" t="n">
        <v>142</v>
      </c>
      <c r="D20" s="20" t="n">
        <v>108</v>
      </c>
      <c r="E20" s="20" t="n">
        <v>94</v>
      </c>
    </row>
    <row r="21">
      <c r="A21" s="19" t="inlineStr">
        <is>
          <t>Booked − Recognized</t>
        </is>
      </c>
      <c r="B21" s="42" t="n">
        <v>104</v>
      </c>
      <c r="C21" s="42" t="n">
        <v>38</v>
      </c>
      <c r="D21" s="42" t="n">
        <v>-34</v>
      </c>
      <c r="E21" s="42" t="n">
        <v>-13</v>
      </c>
    </row>
    <row r="23">
      <c r="A23" s="3" t="inlineStr">
        <is>
          <t>What Goes Wrong</t>
        </is>
      </c>
      <c r="B23" s="18" t="n"/>
      <c r="C23" s="18" t="n"/>
      <c r="D23" s="18" t="n"/>
      <c r="E23" s="18" t="n"/>
      <c r="F23" s="18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9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9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9" t="inlineStr">
        <is>
          <t>AI ARR booked ($M)</t>
        </is>
      </c>
      <c r="B27" s="13" t="n">
        <v>480</v>
      </c>
      <c r="C27" s="13" t="n">
        <v>528</v>
      </c>
      <c r="D27" s="13" t="n">
        <v>554</v>
      </c>
      <c r="E27" s="13" t="n">
        <v>554</v>
      </c>
    </row>
    <row r="28">
      <c r="A28" s="2" t="inlineStr">
        <is>
          <t>AI ARR recognized ($M)</t>
        </is>
      </c>
      <c r="B28" s="12" t="n">
        <v>408</v>
      </c>
      <c r="C28" s="12" t="n">
        <v>511</v>
      </c>
      <c r="D28" s="12" t="n">
        <v>589</v>
      </c>
      <c r="E28" s="12" t="n">
        <v>567</v>
      </c>
    </row>
    <row r="29">
      <c r="A29" s="19" t="inlineStr">
        <is>
          <t>Deferred balance ($M)</t>
        </is>
      </c>
      <c r="B29" s="20" t="n">
        <v>72</v>
      </c>
      <c r="C29" s="20" t="n">
        <v>89</v>
      </c>
      <c r="D29" s="20" t="n">
        <v>54</v>
      </c>
      <c r="E29" s="20" t="n">
        <v>42</v>
      </c>
    </row>
    <row r="30">
      <c r="A30" s="19" t="inlineStr">
        <is>
          <t>Booked − Recognized</t>
        </is>
      </c>
      <c r="B30" s="42" t="n">
        <v>72</v>
      </c>
      <c r="C30" s="42" t="n">
        <v>17</v>
      </c>
      <c r="D30" s="42" t="n">
        <v>-35</v>
      </c>
      <c r="E30" s="42" t="n">
        <v>-13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Good AI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4">
        <f>Assumptions!C70*Assumptions!C74*12</f>
        <v/>
      </c>
      <c r="D6" s="34">
        <f>Assumptions!D70*Assumptions!D74*12</f>
        <v/>
      </c>
      <c r="E6" s="34">
        <f>Assumptions!E70*Assumptions!E74*12</f>
        <v/>
      </c>
      <c r="F6" s="34">
        <f>Assumptions!F70*Assumptions!F74*12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4">
        <f>Assumptions!C82*Assumptions!C86/1000</f>
        <v/>
      </c>
      <c r="D7" s="34">
        <f>Assumptions!D82*Assumptions!D86/1000</f>
        <v/>
      </c>
      <c r="E7" s="34">
        <f>Assumptions!E82*Assumptions!E86/1000</f>
        <v/>
      </c>
      <c r="F7" s="34">
        <f>Assumptions!F82*Assumptions!F86/1000</f>
        <v/>
      </c>
    </row>
    <row r="8">
      <c r="A8" t="inlineStr">
        <is>
          <t xml:space="preserve">  AI ARR (recognized)</t>
        </is>
      </c>
      <c r="B8" s="20" t="n">
        <v>400</v>
      </c>
      <c r="C8" s="34">
        <f>Revenue_Build!B10</f>
        <v/>
      </c>
      <c r="D8" s="34">
        <f>Revenue_Build!C10</f>
        <v/>
      </c>
      <c r="E8" s="34">
        <f>Revenue_Build!D10</f>
        <v/>
      </c>
      <c r="F8" s="34">
        <f>Revenue_Build!E10</f>
        <v/>
      </c>
    </row>
    <row r="9">
      <c r="A9" t="inlineStr">
        <is>
          <t xml:space="preserve">  Services</t>
        </is>
      </c>
      <c r="B9" s="20" t="n">
        <v>719</v>
      </c>
      <c r="C9" s="34">
        <f>Revenue_Build!B12</f>
        <v/>
      </c>
      <c r="D9" s="34">
        <f>Revenue_Build!C12</f>
        <v/>
      </c>
      <c r="E9" s="34">
        <f>Revenue_Build!D12</f>
        <v/>
      </c>
      <c r="F9" s="34">
        <f>Revenue_Build!E12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4" t="n">
        <v>2683</v>
      </c>
      <c r="D11" s="34" t="n">
        <v>3083</v>
      </c>
      <c r="E11" s="34" t="n">
        <v>3567</v>
      </c>
      <c r="F11" s="34" t="n">
        <v>3993</v>
      </c>
    </row>
    <row r="12">
      <c r="A12" s="2" t="inlineStr">
        <is>
          <t>Gross profit</t>
        </is>
      </c>
      <c r="B12" s="22" t="n">
        <v>6928</v>
      </c>
      <c r="C12" s="22" t="n">
        <v>7878</v>
      </c>
      <c r="D12" s="22" t="n">
        <v>9239</v>
      </c>
      <c r="E12" s="22" t="n">
        <v>11026</v>
      </c>
      <c r="F12" s="22" t="n">
        <v>13038</v>
      </c>
    </row>
    <row r="13">
      <c r="A13" t="inlineStr">
        <is>
          <t>R&amp;D</t>
        </is>
      </c>
      <c r="B13" s="20" t="n">
        <v>2679</v>
      </c>
      <c r="C13" s="34" t="n">
        <v>2746</v>
      </c>
      <c r="D13" s="34" t="n">
        <v>3080</v>
      </c>
      <c r="E13" s="34" t="n">
        <v>3502</v>
      </c>
      <c r="F13" s="34" t="n">
        <v>3917</v>
      </c>
    </row>
    <row r="14">
      <c r="A14" t="inlineStr">
        <is>
          <t>S&amp;M</t>
        </is>
      </c>
      <c r="B14" s="20" t="n">
        <v>2616</v>
      </c>
      <c r="C14" s="34" t="n">
        <v>2640</v>
      </c>
      <c r="D14" s="34" t="n">
        <v>2834</v>
      </c>
      <c r="E14" s="34" t="n">
        <v>3064</v>
      </c>
      <c r="F14" s="34" t="n">
        <v>3406</v>
      </c>
    </row>
    <row r="15">
      <c r="A15" t="inlineStr">
        <is>
          <t>G&amp;A</t>
        </is>
      </c>
      <c r="B15" s="20" t="n">
        <v>912</v>
      </c>
      <c r="C15" s="34" t="n">
        <v>951</v>
      </c>
      <c r="D15" s="34" t="n">
        <v>1047</v>
      </c>
      <c r="E15" s="34" t="n">
        <v>1167</v>
      </c>
      <c r="F15" s="34" t="n">
        <v>1362</v>
      </c>
    </row>
    <row r="16">
      <c r="A16" s="2" t="inlineStr">
        <is>
          <t>Operating income</t>
        </is>
      </c>
      <c r="B16" s="22" t="n">
        <v>721</v>
      </c>
      <c r="C16" s="22" t="n">
        <v>1231</v>
      </c>
      <c r="D16" s="22" t="n">
        <v>1916</v>
      </c>
      <c r="E16" s="22" t="n">
        <v>2864</v>
      </c>
      <c r="F16" s="22" t="n">
        <v>3853</v>
      </c>
    </row>
    <row r="17">
      <c r="A17" t="inlineStr">
        <is>
          <t xml:space="preserve">  Operating margin %</t>
        </is>
      </c>
      <c r="B17" s="10" t="n">
        <v>0.07548157453936348</v>
      </c>
      <c r="C17" s="33" t="n">
        <v>0.1166</v>
      </c>
      <c r="D17" s="33" t="n">
        <v>0.1555</v>
      </c>
      <c r="E17" s="33" t="n">
        <v>0.1963</v>
      </c>
      <c r="F17" s="33" t="n">
        <v>0.2263</v>
      </c>
    </row>
    <row r="18">
      <c r="A18" t="inlineStr">
        <is>
          <t>Interest income (4% on cash+sec)</t>
        </is>
      </c>
      <c r="B18" s="13" t="n">
        <v>318</v>
      </c>
      <c r="C18" s="31" t="n">
        <v>218</v>
      </c>
      <c r="D18" s="31" t="n">
        <v>321</v>
      </c>
      <c r="E18" s="31" t="n">
        <v>416</v>
      </c>
      <c r="F18" s="31" t="n">
        <v>490</v>
      </c>
    </row>
    <row r="19">
      <c r="A19" t="inlineStr">
        <is>
          <t>Interest expense (3.5% on debt)</t>
        </is>
      </c>
      <c r="B19" s="20" t="n">
        <v>-105</v>
      </c>
      <c r="C19" s="34" t="n">
        <v>-105</v>
      </c>
      <c r="D19" s="34" t="n">
        <v>-105</v>
      </c>
      <c r="E19" s="34" t="n">
        <v>-105</v>
      </c>
      <c r="F19" s="34" t="n">
        <v>-105</v>
      </c>
    </row>
    <row r="20">
      <c r="A20" s="2" t="inlineStr">
        <is>
          <t>Pre-tax income</t>
        </is>
      </c>
      <c r="B20" s="20" t="n">
        <v>1009</v>
      </c>
      <c r="C20" s="34" t="n">
        <v>1344</v>
      </c>
      <c r="D20" s="34" t="n">
        <v>2132</v>
      </c>
      <c r="E20" s="34" t="n">
        <v>3176</v>
      </c>
      <c r="F20" s="34" t="n">
        <v>4238</v>
      </c>
    </row>
    <row r="21">
      <c r="A21" t="inlineStr">
        <is>
          <t>Tax expense (25% effective)</t>
        </is>
      </c>
      <c r="B21" s="20" t="n">
        <v>-316</v>
      </c>
      <c r="C21" s="34" t="n">
        <v>-336</v>
      </c>
      <c r="D21" s="34" t="n">
        <v>-533</v>
      </c>
      <c r="E21" s="34" t="n">
        <v>-794</v>
      </c>
      <c r="F21" s="34" t="n">
        <v>-1060</v>
      </c>
    </row>
    <row r="22">
      <c r="A22" s="2" t="inlineStr">
        <is>
          <t>Net income (GAAP)</t>
        </is>
      </c>
      <c r="B22" s="22" t="n">
        <v>693</v>
      </c>
      <c r="C22" s="22" t="n">
        <v>1008</v>
      </c>
      <c r="D22" s="22" t="n">
        <v>1599</v>
      </c>
      <c r="E22" s="22" t="n">
        <v>2382</v>
      </c>
      <c r="F22" s="22" t="n">
        <v>3179</v>
      </c>
    </row>
    <row r="23">
      <c r="A23" t="inlineStr">
        <is>
          <t>Diluted shares (M)</t>
        </is>
      </c>
      <c r="B23" s="11" t="n">
        <v>268</v>
      </c>
      <c r="C23" s="29" t="n">
        <v>262.6</v>
      </c>
      <c r="D23" s="29" t="n">
        <v>257.4</v>
      </c>
      <c r="E23" s="29" t="n">
        <v>251</v>
      </c>
      <c r="F23" s="29" t="n">
        <v>244.7</v>
      </c>
    </row>
    <row r="24">
      <c r="A24" s="2" t="inlineStr">
        <is>
          <t>Diluted EPS</t>
        </is>
      </c>
      <c r="B24" s="6" t="n">
        <v>2.59</v>
      </c>
      <c r="C24" s="30" t="n">
        <v>3.84</v>
      </c>
      <c r="D24" s="30" t="n">
        <v>6.21</v>
      </c>
      <c r="E24" s="30" t="n">
        <v>9.49</v>
      </c>
      <c r="F24" s="30" t="n">
        <v>12.99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4" t="n">
        <v>3699</v>
      </c>
      <c r="D28" s="34" t="n">
        <v>6063</v>
      </c>
      <c r="E28" s="34" t="n">
        <v>7783</v>
      </c>
      <c r="F28" s="34" t="n">
        <v>9227</v>
      </c>
    </row>
    <row r="29">
      <c r="A29" t="inlineStr">
        <is>
          <t>Marketable securities</t>
        </is>
      </c>
      <c r="B29" s="20" t="n">
        <v>3942</v>
      </c>
      <c r="C29" s="34" t="n">
        <v>3942</v>
      </c>
      <c r="D29" s="34" t="n">
        <v>3942</v>
      </c>
      <c r="E29" s="34" t="n">
        <v>3942</v>
      </c>
      <c r="F29" s="34" t="n">
        <v>3942</v>
      </c>
    </row>
    <row r="30">
      <c r="A30" t="inlineStr">
        <is>
          <t>Accounts receivable</t>
        </is>
      </c>
      <c r="B30" s="20" t="n">
        <v>2332</v>
      </c>
      <c r="C30" s="34" t="n">
        <v>2578</v>
      </c>
      <c r="D30" s="34" t="n">
        <v>3008</v>
      </c>
      <c r="E30" s="34" t="n">
        <v>3563</v>
      </c>
      <c r="F30" s="34" t="n">
        <v>4158</v>
      </c>
    </row>
    <row r="31">
      <c r="A31" t="inlineStr">
        <is>
          <t>Prepaid + other current</t>
        </is>
      </c>
      <c r="B31" s="20" t="n">
        <v>348</v>
      </c>
      <c r="C31" s="34" t="n">
        <v>380</v>
      </c>
      <c r="D31" s="34" t="n">
        <v>444</v>
      </c>
      <c r="E31" s="34" t="n">
        <v>525</v>
      </c>
      <c r="F31" s="34" t="n">
        <v>613</v>
      </c>
    </row>
    <row r="32">
      <c r="A32" t="inlineStr">
        <is>
          <t>Deferred costs (current)</t>
        </is>
      </c>
      <c r="B32" s="20" t="n">
        <v>306</v>
      </c>
      <c r="C32" s="34" t="n">
        <v>338</v>
      </c>
      <c r="D32" s="34" t="n">
        <v>394</v>
      </c>
      <c r="E32" s="34" t="n">
        <v>467</v>
      </c>
      <c r="F32" s="34" t="n">
        <v>545</v>
      </c>
    </row>
    <row r="33">
      <c r="A33" t="inlineStr">
        <is>
          <t>Property, plant &amp; equipment</t>
        </is>
      </c>
      <c r="B33" s="20" t="n">
        <v>1093</v>
      </c>
      <c r="C33" s="34" t="n">
        <v>1067</v>
      </c>
      <c r="D33" s="34" t="n">
        <v>1061</v>
      </c>
      <c r="E33" s="34" t="n">
        <v>1086</v>
      </c>
      <c r="F33" s="34" t="n">
        <v>1145</v>
      </c>
    </row>
    <row r="34">
      <c r="A34" t="inlineStr">
        <is>
          <t>Operating lease ROU</t>
        </is>
      </c>
      <c r="B34" s="20" t="n">
        <v>719</v>
      </c>
      <c r="C34" s="34" t="n">
        <v>719</v>
      </c>
      <c r="D34" s="34" t="n">
        <v>719</v>
      </c>
      <c r="E34" s="34" t="n">
        <v>719</v>
      </c>
      <c r="F34" s="34" t="n">
        <v>719</v>
      </c>
    </row>
    <row r="35">
      <c r="A35" t="inlineStr">
        <is>
          <t>Goodwill</t>
        </is>
      </c>
      <c r="B35" s="20" t="n">
        <v>5229</v>
      </c>
      <c r="C35" s="34" t="n">
        <v>5229</v>
      </c>
      <c r="D35" s="34" t="n">
        <v>5229</v>
      </c>
      <c r="E35" s="34" t="n">
        <v>5229</v>
      </c>
      <c r="F35" s="34" t="n">
        <v>5229</v>
      </c>
    </row>
    <row r="36">
      <c r="A36" t="inlineStr">
        <is>
          <t>Intangibles (net)</t>
        </is>
      </c>
      <c r="B36" s="20" t="n">
        <v>600</v>
      </c>
      <c r="C36" s="34" t="n">
        <v>500</v>
      </c>
      <c r="D36" s="34" t="n">
        <v>400</v>
      </c>
      <c r="E36" s="34" t="n">
        <v>300</v>
      </c>
      <c r="F36" s="34" t="n">
        <v>200</v>
      </c>
    </row>
    <row r="37">
      <c r="A37" t="inlineStr">
        <is>
          <t>Deferred contract costs (NC)</t>
        </is>
      </c>
      <c r="B37" s="20" t="n">
        <v>634</v>
      </c>
      <c r="C37" s="34" t="n">
        <v>697</v>
      </c>
      <c r="D37" s="34" t="n">
        <v>813</v>
      </c>
      <c r="E37" s="34" t="n">
        <v>963</v>
      </c>
      <c r="F37" s="34" t="n">
        <v>1124</v>
      </c>
    </row>
    <row r="38">
      <c r="A38" t="inlineStr">
        <is>
          <t>Deferred tax assets</t>
        </is>
      </c>
      <c r="B38" s="20" t="n">
        <v>829</v>
      </c>
      <c r="C38" s="34" t="n">
        <v>829</v>
      </c>
      <c r="D38" s="34" t="n">
        <v>829</v>
      </c>
      <c r="E38" s="34" t="n">
        <v>829</v>
      </c>
      <c r="F38" s="34" t="n">
        <v>829</v>
      </c>
    </row>
    <row r="39">
      <c r="A39" t="inlineStr">
        <is>
          <t>Other assets (NC)</t>
        </is>
      </c>
      <c r="B39" s="20" t="n">
        <v>541</v>
      </c>
      <c r="C39" s="34" t="n">
        <v>541</v>
      </c>
      <c r="D39" s="34" t="n">
        <v>541</v>
      </c>
      <c r="E39" s="34" t="n">
        <v>541</v>
      </c>
      <c r="F39" s="34" t="n">
        <v>541</v>
      </c>
    </row>
    <row r="40">
      <c r="A40" s="2" t="inlineStr">
        <is>
          <t>Total assets</t>
        </is>
      </c>
      <c r="B40" s="22" t="n">
        <v>18074</v>
      </c>
      <c r="C40" s="22" t="n">
        <v>20520</v>
      </c>
      <c r="D40" s="22" t="n">
        <v>23444</v>
      </c>
      <c r="E40" s="22" t="n">
        <v>25948</v>
      </c>
      <c r="F40" s="22" t="n">
        <v>28273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4" t="n">
        <v>158</v>
      </c>
      <c r="D43" s="34" t="n">
        <v>185</v>
      </c>
      <c r="E43" s="34" t="n">
        <v>219</v>
      </c>
      <c r="F43" s="34" t="n">
        <v>255</v>
      </c>
    </row>
    <row r="44">
      <c r="A44" t="inlineStr">
        <is>
          <t>Accrued compensation</t>
        </is>
      </c>
      <c r="B44" s="20" t="n">
        <v>642</v>
      </c>
      <c r="C44" s="34" t="n">
        <v>718</v>
      </c>
      <c r="D44" s="34" t="n">
        <v>838</v>
      </c>
      <c r="E44" s="34" t="n">
        <v>992</v>
      </c>
      <c r="F44" s="34" t="n">
        <v>1158</v>
      </c>
    </row>
    <row r="45">
      <c r="A45" t="inlineStr">
        <is>
          <t>Accrued other</t>
        </is>
      </c>
      <c r="B45" s="20" t="n">
        <v>454</v>
      </c>
      <c r="C45" s="34" t="n">
        <v>507</v>
      </c>
      <c r="D45" s="34" t="n">
        <v>591</v>
      </c>
      <c r="E45" s="34" t="n">
        <v>700</v>
      </c>
      <c r="F45" s="34" t="n">
        <v>817</v>
      </c>
    </row>
    <row r="46">
      <c r="A46" t="inlineStr">
        <is>
          <t>Deferred revenue (current)</t>
        </is>
      </c>
      <c r="B46" s="20" t="n">
        <v>5010</v>
      </c>
      <c r="C46" s="34" t="n">
        <v>5411</v>
      </c>
      <c r="D46" s="34" t="n">
        <v>6583</v>
      </c>
      <c r="E46" s="34" t="n">
        <v>7936</v>
      </c>
      <c r="F46" s="34" t="n">
        <v>9281</v>
      </c>
    </row>
    <row r="47">
      <c r="A47" t="inlineStr">
        <is>
          <t>Deferred revenue (NC)</t>
        </is>
      </c>
      <c r="B47" s="20" t="n">
        <v>71</v>
      </c>
      <c r="C47" s="34" t="n">
        <v>71</v>
      </c>
      <c r="D47" s="34" t="n">
        <v>71</v>
      </c>
      <c r="E47" s="34" t="n">
        <v>71</v>
      </c>
      <c r="F47" s="34" t="n">
        <v>71</v>
      </c>
    </row>
    <row r="48">
      <c r="A48" t="inlineStr">
        <is>
          <t>Operating lease liab (current)</t>
        </is>
      </c>
      <c r="B48" s="20" t="n">
        <v>130</v>
      </c>
      <c r="C48" s="34" t="n">
        <v>130</v>
      </c>
      <c r="D48" s="34" t="n">
        <v>130</v>
      </c>
      <c r="E48" s="34" t="n">
        <v>130</v>
      </c>
      <c r="F48" s="34" t="n">
        <v>130</v>
      </c>
    </row>
    <row r="49">
      <c r="A49" t="inlineStr">
        <is>
          <t>Operating lease liab (NC)</t>
        </is>
      </c>
      <c r="B49" s="20" t="n">
        <v>704</v>
      </c>
      <c r="C49" s="34" t="n">
        <v>704</v>
      </c>
      <c r="D49" s="34" t="n">
        <v>704</v>
      </c>
      <c r="E49" s="34" t="n">
        <v>704</v>
      </c>
      <c r="F49" s="34" t="n">
        <v>704</v>
      </c>
    </row>
    <row r="50">
      <c r="A50" t="inlineStr">
        <is>
          <t>Senior convertible notes</t>
        </is>
      </c>
      <c r="B50" s="20" t="n">
        <v>2987</v>
      </c>
      <c r="C50" s="34" t="n">
        <v>2987</v>
      </c>
      <c r="D50" s="34" t="n">
        <v>2987</v>
      </c>
      <c r="E50" s="34" t="n">
        <v>2987</v>
      </c>
      <c r="F50" s="34" t="n">
        <v>2987</v>
      </c>
    </row>
    <row r="51">
      <c r="A51" t="inlineStr">
        <is>
          <t>Other long-term liabilities</t>
        </is>
      </c>
      <c r="B51" s="20" t="n">
        <v>129</v>
      </c>
      <c r="C51" s="34" t="n">
        <v>129</v>
      </c>
      <c r="D51" s="34" t="n">
        <v>129</v>
      </c>
      <c r="E51" s="34" t="n">
        <v>129</v>
      </c>
      <c r="F51" s="34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10816</v>
      </c>
      <c r="D52" s="22" t="n">
        <v>12218</v>
      </c>
      <c r="E52" s="22" t="n">
        <v>13869</v>
      </c>
      <c r="F52" s="22" t="n">
        <v>15534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4" t="n">
        <v>14257</v>
      </c>
      <c r="D55" s="34" t="n">
        <v>15859</v>
      </c>
      <c r="E55" s="34" t="n">
        <v>17610</v>
      </c>
      <c r="F55" s="34" t="n">
        <v>19483</v>
      </c>
    </row>
    <row r="56">
      <c r="A56" t="inlineStr">
        <is>
          <t>Treasury stock</t>
        </is>
      </c>
      <c r="B56" s="20" t="n">
        <v>-4220</v>
      </c>
      <c r="C56" s="34" t="n">
        <v>-4913</v>
      </c>
      <c r="D56" s="34" t="n">
        <v>-6592</v>
      </c>
      <c r="E56" s="34" t="n">
        <v>-9872</v>
      </c>
      <c r="F56" s="34" t="n">
        <v>-14264</v>
      </c>
    </row>
    <row r="57">
      <c r="A57" t="inlineStr">
        <is>
          <t>Retained earnings / (deficit)</t>
        </is>
      </c>
      <c r="B57" s="20" t="n">
        <v>-512</v>
      </c>
      <c r="C57" s="34" t="n">
        <v>496</v>
      </c>
      <c r="D57" s="34" t="n">
        <v>2095</v>
      </c>
      <c r="E57" s="34" t="n">
        <v>4477</v>
      </c>
      <c r="F57" s="34" t="n">
        <v>7656</v>
      </c>
    </row>
    <row r="58">
      <c r="A58" t="inlineStr">
        <is>
          <t>AOCI</t>
        </is>
      </c>
      <c r="B58" s="20" t="n">
        <v>-136</v>
      </c>
      <c r="C58" s="34" t="n">
        <v>-136</v>
      </c>
      <c r="D58" s="34" t="n">
        <v>-136</v>
      </c>
      <c r="E58" s="34" t="n">
        <v>-136</v>
      </c>
      <c r="F58" s="34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9704</v>
      </c>
      <c r="D59" s="22" t="n">
        <v>11226</v>
      </c>
      <c r="E59" s="22" t="n">
        <v>12079</v>
      </c>
      <c r="F59" s="22" t="n">
        <v>12739</v>
      </c>
    </row>
    <row r="61">
      <c r="A61" s="2" t="inlineStr">
        <is>
          <t>Balance check: A − L − E (≈ 0)</t>
        </is>
      </c>
      <c r="B61" s="43" t="n">
        <v>0</v>
      </c>
      <c r="C61" s="43" t="n">
        <v>-0</v>
      </c>
      <c r="D61" s="43" t="n">
        <v>0</v>
      </c>
      <c r="E61" s="43" t="n">
        <v>0</v>
      </c>
      <c r="F61" s="43" t="n">
        <v>-0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4" t="n">
        <v>1008</v>
      </c>
      <c r="D65" s="34" t="n">
        <v>1599</v>
      </c>
      <c r="E65" s="34" t="n">
        <v>2382</v>
      </c>
      <c r="F65" s="34" t="n">
        <v>3179</v>
      </c>
    </row>
    <row r="66">
      <c r="A66" t="inlineStr">
        <is>
          <t>+ Depreciation</t>
        </is>
      </c>
      <c r="B66" s="20" t="n">
        <v>237</v>
      </c>
      <c r="C66" s="34" t="n">
        <v>237</v>
      </c>
      <c r="D66" s="34" t="n">
        <v>252</v>
      </c>
      <c r="E66" s="34" t="n">
        <v>267</v>
      </c>
      <c r="F66" s="34" t="n">
        <v>282</v>
      </c>
    </row>
    <row r="67">
      <c r="A67" t="inlineStr">
        <is>
          <t>+ Amortization of intangibles</t>
        </is>
      </c>
      <c r="B67" s="20" t="n">
        <v>100</v>
      </c>
      <c r="C67" s="34" t="n">
        <v>100</v>
      </c>
      <c r="D67" s="34" t="n">
        <v>100</v>
      </c>
      <c r="E67" s="34" t="n">
        <v>100</v>
      </c>
      <c r="F67" s="34" t="n">
        <v>100</v>
      </c>
    </row>
    <row r="68">
      <c r="A68" t="inlineStr">
        <is>
          <t>+ Stock-based compensation</t>
        </is>
      </c>
      <c r="B68" s="20" t="n">
        <v>1626</v>
      </c>
      <c r="C68" s="34" t="n">
        <v>1584</v>
      </c>
      <c r="D68" s="34" t="n">
        <v>1602</v>
      </c>
      <c r="E68" s="34" t="n">
        <v>1751</v>
      </c>
      <c r="F68" s="34" t="n">
        <v>1873</v>
      </c>
    </row>
    <row r="69">
      <c r="A69" t="inlineStr">
        <is>
          <t>± Change in AR</t>
        </is>
      </c>
      <c r="B69" s="42" t="n"/>
      <c r="C69" s="44" t="n">
        <v>-246</v>
      </c>
      <c r="D69" s="44" t="n">
        <v>-430</v>
      </c>
      <c r="E69" s="44" t="n">
        <v>-554</v>
      </c>
      <c r="F69" s="44" t="n">
        <v>-595</v>
      </c>
    </row>
    <row r="70">
      <c r="A70" t="inlineStr">
        <is>
          <t>± Change in deferred revenue</t>
        </is>
      </c>
      <c r="B70" s="42" t="n"/>
      <c r="C70" s="44" t="n">
        <v>401</v>
      </c>
      <c r="D70" s="44" t="n">
        <v>1171</v>
      </c>
      <c r="E70" s="44" t="n">
        <v>1353</v>
      </c>
      <c r="F70" s="44" t="n">
        <v>1346</v>
      </c>
    </row>
    <row r="71">
      <c r="A71" t="inlineStr">
        <is>
          <t>± Change in accrued comp</t>
        </is>
      </c>
      <c r="B71" s="42" t="n"/>
      <c r="C71" s="44" t="n">
        <v>76</v>
      </c>
      <c r="D71" s="44" t="n">
        <v>120</v>
      </c>
      <c r="E71" s="44" t="n">
        <v>154</v>
      </c>
      <c r="F71" s="44" t="n">
        <v>166</v>
      </c>
    </row>
    <row r="72">
      <c r="A72" t="inlineStr">
        <is>
          <t>± Change in AP + accrued other</t>
        </is>
      </c>
      <c r="B72" s="42" t="n"/>
      <c r="C72" s="44" t="n">
        <v>69</v>
      </c>
      <c r="D72" s="44" t="n">
        <v>111</v>
      </c>
      <c r="E72" s="44" t="n">
        <v>143</v>
      </c>
      <c r="F72" s="44" t="n">
        <v>154</v>
      </c>
    </row>
    <row r="73">
      <c r="A73" t="inlineStr">
        <is>
          <t>± Change in prepaid</t>
        </is>
      </c>
      <c r="B73" s="42" t="n"/>
      <c r="C73" s="44" t="n">
        <v>-32</v>
      </c>
      <c r="D73" s="44" t="n">
        <v>-63</v>
      </c>
      <c r="E73" s="44" t="n">
        <v>-82</v>
      </c>
      <c r="F73" s="44" t="n">
        <v>-88</v>
      </c>
    </row>
    <row r="74">
      <c r="A74" t="inlineStr">
        <is>
          <t>± Change in deferred costs</t>
        </is>
      </c>
      <c r="B74" s="42" t="n"/>
      <c r="C74" s="44" t="n">
        <v>-95</v>
      </c>
      <c r="D74" s="44" t="n">
        <v>-173</v>
      </c>
      <c r="E74" s="44" t="n">
        <v>-223</v>
      </c>
      <c r="F74" s="44" t="n">
        <v>-239</v>
      </c>
    </row>
    <row r="75">
      <c r="A75" s="2">
        <f> Operating cash flow</f>
        <v/>
      </c>
      <c r="B75" s="22" t="n">
        <v>2939</v>
      </c>
      <c r="C75" s="22" t="n">
        <v>3102</v>
      </c>
      <c r="D75" s="22" t="n">
        <v>4289</v>
      </c>
      <c r="E75" s="22" t="n">
        <v>5292</v>
      </c>
      <c r="F75" s="22" t="n">
        <v>6177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4" t="n">
        <v>-211</v>
      </c>
      <c r="D78" s="34" t="n">
        <v>-246</v>
      </c>
      <c r="E78" s="34" t="n">
        <v>-292</v>
      </c>
      <c r="F78" s="34" t="n">
        <v>-341</v>
      </c>
    </row>
    <row r="79">
      <c r="A79" t="inlineStr">
        <is>
          <t>− Acquisitions</t>
        </is>
      </c>
      <c r="B79" s="20" t="n"/>
      <c r="C79" s="34" t="n">
        <v>0</v>
      </c>
      <c r="D79" s="34" t="n">
        <v>0</v>
      </c>
      <c r="E79" s="34" t="n">
        <v>0</v>
      </c>
      <c r="F79" s="34" t="n">
        <v>0</v>
      </c>
    </row>
    <row r="80">
      <c r="A80" t="inlineStr">
        <is>
          <t>± Net marketable securities</t>
        </is>
      </c>
      <c r="B80" s="20" t="n"/>
      <c r="C80" s="34" t="n">
        <v>0</v>
      </c>
      <c r="D80" s="34" t="n">
        <v>0</v>
      </c>
      <c r="E80" s="34" t="n">
        <v>0</v>
      </c>
      <c r="F80" s="34" t="n">
        <v>0</v>
      </c>
    </row>
    <row r="81">
      <c r="A81" s="2">
        <f> Investing cash flow</f>
        <v/>
      </c>
      <c r="B81" s="22" t="n">
        <v>-162</v>
      </c>
      <c r="C81" s="22" t="n">
        <v>-211</v>
      </c>
      <c r="D81" s="22" t="n">
        <v>-246</v>
      </c>
      <c r="E81" s="22" t="n">
        <v>-292</v>
      </c>
      <c r="F81" s="22" t="n">
        <v>-341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4" t="n">
        <v>-693</v>
      </c>
      <c r="D84" s="34" t="n">
        <v>-1679</v>
      </c>
      <c r="E84" s="34" t="n">
        <v>-3280</v>
      </c>
      <c r="F84" s="34" t="n">
        <v>-4392</v>
      </c>
    </row>
    <row r="85">
      <c r="A85" t="inlineStr">
        <is>
          <t>− Dividends</t>
        </is>
      </c>
      <c r="B85" s="20" t="n"/>
      <c r="C85" s="34" t="n">
        <v>-0</v>
      </c>
      <c r="D85" s="34" t="n">
        <v>-0</v>
      </c>
      <c r="E85" s="34" t="n">
        <v>-0</v>
      </c>
      <c r="F85" s="34" t="n">
        <v>-0</v>
      </c>
    </row>
    <row r="86">
      <c r="A86" t="inlineStr">
        <is>
          <t>± Net debt</t>
        </is>
      </c>
      <c r="B86" s="20" t="n"/>
      <c r="C86" s="34" t="n">
        <v>0</v>
      </c>
      <c r="D86" s="34" t="n">
        <v>0</v>
      </c>
      <c r="E86" s="34" t="n">
        <v>0</v>
      </c>
      <c r="F86" s="34" t="n">
        <v>0</v>
      </c>
    </row>
    <row r="87">
      <c r="A87" s="2">
        <f> Financing cash flow</f>
        <v/>
      </c>
      <c r="B87" s="22" t="n"/>
      <c r="C87" s="22" t="n">
        <v>-693</v>
      </c>
      <c r="D87" s="22" t="n">
        <v>-1679</v>
      </c>
      <c r="E87" s="22" t="n">
        <v>-3280</v>
      </c>
      <c r="F87" s="22" t="n">
        <v>-4392</v>
      </c>
    </row>
    <row r="89">
      <c r="A89" s="2" t="inlineStr">
        <is>
          <t>Net change in cash</t>
        </is>
      </c>
      <c r="B89" s="20" t="n"/>
      <c r="C89" s="34" t="n">
        <v>2198</v>
      </c>
      <c r="D89" s="34" t="n">
        <v>2364</v>
      </c>
      <c r="E89" s="34" t="n">
        <v>1720</v>
      </c>
      <c r="F89" s="34" t="n">
        <v>1444</v>
      </c>
    </row>
    <row r="90">
      <c r="A90" s="2" t="inlineStr">
        <is>
          <t>Beginning cash (FY26 = $1,501M)</t>
        </is>
      </c>
      <c r="B90" s="20" t="n">
        <v>1501</v>
      </c>
      <c r="C90" s="34" t="n">
        <v>1501</v>
      </c>
      <c r="D90" s="34" t="n">
        <v>3699</v>
      </c>
      <c r="E90" s="34" t="n">
        <v>6063</v>
      </c>
      <c r="F90" s="34" t="n">
        <v>7783</v>
      </c>
    </row>
    <row r="91">
      <c r="A91" s="2" t="inlineStr">
        <is>
          <t>Ending cash (= BS cash)</t>
        </is>
      </c>
      <c r="B91" s="22" t="n">
        <v>1501</v>
      </c>
      <c r="C91" s="22" t="n">
        <v>3699</v>
      </c>
      <c r="D91" s="22" t="n">
        <v>6063</v>
      </c>
      <c r="E91" s="22" t="n">
        <v>7783</v>
      </c>
      <c r="F91" s="22" t="n">
        <v>9227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Runs For Cash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4">
        <f>Assumptions!C71*Assumptions!C75*12</f>
        <v/>
      </c>
      <c r="D6" s="34">
        <f>Assumptions!D71*Assumptions!D75*12</f>
        <v/>
      </c>
      <c r="E6" s="34">
        <f>Assumptions!E71*Assumptions!E75*12</f>
        <v/>
      </c>
      <c r="F6" s="34">
        <f>Assumptions!F71*Assumptions!F75*12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4">
        <f>Assumptions!C83*Assumptions!C87/1000</f>
        <v/>
      </c>
      <c r="D7" s="34">
        <f>Assumptions!D83*Assumptions!D87/1000</f>
        <v/>
      </c>
      <c r="E7" s="34">
        <f>Assumptions!E83*Assumptions!E87/1000</f>
        <v/>
      </c>
      <c r="F7" s="34">
        <f>Assumptions!F83*Assumptions!F87/1000</f>
        <v/>
      </c>
    </row>
    <row r="8">
      <c r="A8" t="inlineStr">
        <is>
          <t xml:space="preserve">  AI ARR (recognized)</t>
        </is>
      </c>
      <c r="B8" s="20" t="n">
        <v>400</v>
      </c>
      <c r="C8" s="34">
        <f>Revenue_Build!B30</f>
        <v/>
      </c>
      <c r="D8" s="34">
        <f>Revenue_Build!C30</f>
        <v/>
      </c>
      <c r="E8" s="34">
        <f>Revenue_Build!D30</f>
        <v/>
      </c>
      <c r="F8" s="34">
        <f>Revenue_Build!E30</f>
        <v/>
      </c>
    </row>
    <row r="9">
      <c r="A9" t="inlineStr">
        <is>
          <t xml:space="preserve">  Services</t>
        </is>
      </c>
      <c r="B9" s="20" t="n">
        <v>719</v>
      </c>
      <c r="C9" s="34">
        <f>Revenue_Build!B32</f>
        <v/>
      </c>
      <c r="D9" s="34">
        <f>Revenue_Build!C32</f>
        <v/>
      </c>
      <c r="E9" s="34">
        <f>Revenue_Build!D32</f>
        <v/>
      </c>
      <c r="F9" s="34">
        <f>Revenue_Build!E32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4" t="n">
        <v>2497</v>
      </c>
      <c r="D11" s="34" t="n">
        <v>2415</v>
      </c>
      <c r="E11" s="34" t="n">
        <v>2250</v>
      </c>
      <c r="F11" s="34" t="n">
        <v>2049</v>
      </c>
    </row>
    <row r="12">
      <c r="A12" s="2" t="inlineStr">
        <is>
          <t>Gross profit</t>
        </is>
      </c>
      <c r="B12" s="22" t="n">
        <v>6928</v>
      </c>
      <c r="C12" s="22" t="n">
        <v>7296</v>
      </c>
      <c r="D12" s="22" t="n">
        <v>7057</v>
      </c>
      <c r="E12" s="22" t="n">
        <v>6571</v>
      </c>
      <c r="F12" s="22" t="n">
        <v>6066</v>
      </c>
    </row>
    <row r="13">
      <c r="A13" t="inlineStr">
        <is>
          <t>R&amp;D</t>
        </is>
      </c>
      <c r="B13" s="20" t="n">
        <v>2679</v>
      </c>
      <c r="C13" s="34" t="n">
        <v>2350</v>
      </c>
      <c r="D13" s="34" t="n">
        <v>1894</v>
      </c>
      <c r="E13" s="34" t="n">
        <v>1411</v>
      </c>
      <c r="F13" s="34" t="n">
        <v>1055</v>
      </c>
    </row>
    <row r="14">
      <c r="A14" t="inlineStr">
        <is>
          <t>S&amp;M</t>
        </is>
      </c>
      <c r="B14" s="20" t="n">
        <v>2616</v>
      </c>
      <c r="C14" s="34" t="n">
        <v>2154</v>
      </c>
      <c r="D14" s="34" t="n">
        <v>1610</v>
      </c>
      <c r="E14" s="34" t="n">
        <v>1147</v>
      </c>
      <c r="F14" s="34" t="n">
        <v>811</v>
      </c>
    </row>
    <row r="15">
      <c r="A15" t="inlineStr">
        <is>
          <t>G&amp;A</t>
        </is>
      </c>
      <c r="B15" s="20" t="n">
        <v>912</v>
      </c>
      <c r="C15" s="34" t="n">
        <v>783</v>
      </c>
      <c r="D15" s="34" t="n">
        <v>663</v>
      </c>
      <c r="E15" s="34" t="n">
        <v>529</v>
      </c>
      <c r="F15" s="34" t="n">
        <v>406</v>
      </c>
    </row>
    <row r="16">
      <c r="A16" s="2" t="inlineStr">
        <is>
          <t>Operating income</t>
        </is>
      </c>
      <c r="B16" s="22" t="n">
        <v>721</v>
      </c>
      <c r="C16" s="22" t="n">
        <v>1721</v>
      </c>
      <c r="D16" s="22" t="n">
        <v>2611</v>
      </c>
      <c r="E16" s="22" t="n">
        <v>3225</v>
      </c>
      <c r="F16" s="22" t="n">
        <v>3556</v>
      </c>
    </row>
    <row r="17">
      <c r="A17" t="inlineStr">
        <is>
          <t xml:space="preserve">  Operating margin %</t>
        </is>
      </c>
      <c r="B17" s="10" t="n">
        <v>0.07548157453936348</v>
      </c>
      <c r="C17" s="33" t="n">
        <v>0.1757</v>
      </c>
      <c r="D17" s="33" t="n">
        <v>0.2757</v>
      </c>
      <c r="E17" s="33" t="n">
        <v>0.3656</v>
      </c>
      <c r="F17" s="33" t="n">
        <v>0.4382</v>
      </c>
    </row>
    <row r="18">
      <c r="A18" t="inlineStr">
        <is>
          <t>Interest income (4% on cash+sec)</t>
        </is>
      </c>
      <c r="B18" s="13" t="n">
        <v>318</v>
      </c>
      <c r="C18" s="31" t="n">
        <v>218</v>
      </c>
      <c r="D18" s="31" t="n">
        <v>272</v>
      </c>
      <c r="E18" s="31" t="n">
        <v>261</v>
      </c>
      <c r="F18" s="31" t="n">
        <v>206</v>
      </c>
    </row>
    <row r="19">
      <c r="A19" t="inlineStr">
        <is>
          <t>Interest expense (3.5% on debt)</t>
        </is>
      </c>
      <c r="B19" s="20" t="n">
        <v>-105</v>
      </c>
      <c r="C19" s="34" t="n">
        <v>-105</v>
      </c>
      <c r="D19" s="34" t="n">
        <v>-105</v>
      </c>
      <c r="E19" s="34" t="n">
        <v>-105</v>
      </c>
      <c r="F19" s="34" t="n">
        <v>-105</v>
      </c>
    </row>
    <row r="20">
      <c r="A20" s="2" t="inlineStr">
        <is>
          <t>Pre-tax income</t>
        </is>
      </c>
      <c r="B20" s="20" t="n">
        <v>1009</v>
      </c>
      <c r="C20" s="34" t="n">
        <v>1834</v>
      </c>
      <c r="D20" s="34" t="n">
        <v>2778</v>
      </c>
      <c r="E20" s="34" t="n">
        <v>3381</v>
      </c>
      <c r="F20" s="34" t="n">
        <v>3657</v>
      </c>
    </row>
    <row r="21">
      <c r="A21" t="inlineStr">
        <is>
          <t>Tax expense (25% effective)</t>
        </is>
      </c>
      <c r="B21" s="20" t="n">
        <v>-316</v>
      </c>
      <c r="C21" s="34" t="n">
        <v>-458</v>
      </c>
      <c r="D21" s="34" t="n">
        <v>-695</v>
      </c>
      <c r="E21" s="34" t="n">
        <v>-845</v>
      </c>
      <c r="F21" s="34" t="n">
        <v>-914</v>
      </c>
    </row>
    <row r="22">
      <c r="A22" s="2" t="inlineStr">
        <is>
          <t>Net income (GAAP)</t>
        </is>
      </c>
      <c r="B22" s="22" t="n">
        <v>693</v>
      </c>
      <c r="C22" s="22" t="n">
        <v>1375</v>
      </c>
      <c r="D22" s="22" t="n">
        <v>2084</v>
      </c>
      <c r="E22" s="22" t="n">
        <v>2536</v>
      </c>
      <c r="F22" s="22" t="n">
        <v>2743</v>
      </c>
    </row>
    <row r="23">
      <c r="A23" t="inlineStr">
        <is>
          <t>Diluted shares (M)</t>
        </is>
      </c>
      <c r="B23" s="11" t="n">
        <v>268</v>
      </c>
      <c r="C23" s="29" t="n">
        <v>257.3</v>
      </c>
      <c r="D23" s="29" t="n">
        <v>239.3</v>
      </c>
      <c r="E23" s="29" t="n">
        <v>217.7</v>
      </c>
      <c r="F23" s="29" t="n">
        <v>196</v>
      </c>
    </row>
    <row r="24">
      <c r="A24" s="2" t="inlineStr">
        <is>
          <t>Diluted EPS</t>
        </is>
      </c>
      <c r="B24" s="6" t="n">
        <v>2.59</v>
      </c>
      <c r="C24" s="30" t="n">
        <v>5.35</v>
      </c>
      <c r="D24" s="30" t="n">
        <v>8.710000000000001</v>
      </c>
      <c r="E24" s="30" t="n">
        <v>11.65</v>
      </c>
      <c r="F24" s="30" t="n">
        <v>14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4" t="n">
        <v>2430</v>
      </c>
      <c r="D28" s="34" t="n">
        <v>2024</v>
      </c>
      <c r="E28" s="34" t="n">
        <v>738</v>
      </c>
      <c r="F28" s="34" t="n">
        <v>-646</v>
      </c>
    </row>
    <row r="29">
      <c r="A29" t="inlineStr">
        <is>
          <t>Marketable securities</t>
        </is>
      </c>
      <c r="B29" s="20" t="n">
        <v>3942</v>
      </c>
      <c r="C29" s="34" t="n">
        <v>3942</v>
      </c>
      <c r="D29" s="34" t="n">
        <v>3942</v>
      </c>
      <c r="E29" s="34" t="n">
        <v>3942</v>
      </c>
      <c r="F29" s="34" t="n">
        <v>3942</v>
      </c>
    </row>
    <row r="30">
      <c r="A30" t="inlineStr">
        <is>
          <t>Accounts receivable</t>
        </is>
      </c>
      <c r="B30" s="20" t="n">
        <v>2332</v>
      </c>
      <c r="C30" s="34" t="n">
        <v>2391</v>
      </c>
      <c r="D30" s="34" t="n">
        <v>2312</v>
      </c>
      <c r="E30" s="34" t="n">
        <v>2154</v>
      </c>
      <c r="F30" s="34" t="n">
        <v>1981</v>
      </c>
    </row>
    <row r="31">
      <c r="A31" t="inlineStr">
        <is>
          <t>Prepaid + other current</t>
        </is>
      </c>
      <c r="B31" s="20" t="n">
        <v>348</v>
      </c>
      <c r="C31" s="34" t="n">
        <v>353</v>
      </c>
      <c r="D31" s="34" t="n">
        <v>341</v>
      </c>
      <c r="E31" s="34" t="n">
        <v>318</v>
      </c>
      <c r="F31" s="34" t="n">
        <v>292</v>
      </c>
    </row>
    <row r="32">
      <c r="A32" t="inlineStr">
        <is>
          <t>Deferred costs (current)</t>
        </is>
      </c>
      <c r="B32" s="20" t="n">
        <v>306</v>
      </c>
      <c r="C32" s="34" t="n">
        <v>313</v>
      </c>
      <c r="D32" s="34" t="n">
        <v>303</v>
      </c>
      <c r="E32" s="34" t="n">
        <v>282</v>
      </c>
      <c r="F32" s="34" t="n">
        <v>260</v>
      </c>
    </row>
    <row r="33">
      <c r="A33" t="inlineStr">
        <is>
          <t>Property, plant &amp; equipment</t>
        </is>
      </c>
      <c r="B33" s="20" t="n">
        <v>1093</v>
      </c>
      <c r="C33" s="34" t="n">
        <v>1052</v>
      </c>
      <c r="D33" s="34" t="n">
        <v>989</v>
      </c>
      <c r="E33" s="34" t="n">
        <v>898</v>
      </c>
      <c r="F33" s="34" t="n">
        <v>778</v>
      </c>
    </row>
    <row r="34">
      <c r="A34" t="inlineStr">
        <is>
          <t>Operating lease ROU</t>
        </is>
      </c>
      <c r="B34" s="20" t="n">
        <v>719</v>
      </c>
      <c r="C34" s="34" t="n">
        <v>719</v>
      </c>
      <c r="D34" s="34" t="n">
        <v>719</v>
      </c>
      <c r="E34" s="34" t="n">
        <v>719</v>
      </c>
      <c r="F34" s="34" t="n">
        <v>719</v>
      </c>
    </row>
    <row r="35">
      <c r="A35" t="inlineStr">
        <is>
          <t>Goodwill</t>
        </is>
      </c>
      <c r="B35" s="20" t="n">
        <v>5229</v>
      </c>
      <c r="C35" s="34" t="n">
        <v>5229</v>
      </c>
      <c r="D35" s="34" t="n">
        <v>5229</v>
      </c>
      <c r="E35" s="34" t="n">
        <v>5229</v>
      </c>
      <c r="F35" s="34" t="n">
        <v>5229</v>
      </c>
    </row>
    <row r="36">
      <c r="A36" t="inlineStr">
        <is>
          <t>Intangibles (net)</t>
        </is>
      </c>
      <c r="B36" s="20" t="n">
        <v>600</v>
      </c>
      <c r="C36" s="34" t="n">
        <v>500</v>
      </c>
      <c r="D36" s="34" t="n">
        <v>400</v>
      </c>
      <c r="E36" s="34" t="n">
        <v>300</v>
      </c>
      <c r="F36" s="34" t="n">
        <v>200</v>
      </c>
    </row>
    <row r="37">
      <c r="A37" t="inlineStr">
        <is>
          <t>Deferred contract costs (NC)</t>
        </is>
      </c>
      <c r="B37" s="20" t="n">
        <v>634</v>
      </c>
      <c r="C37" s="34" t="n">
        <v>646</v>
      </c>
      <c r="D37" s="34" t="n">
        <v>625</v>
      </c>
      <c r="E37" s="34" t="n">
        <v>582</v>
      </c>
      <c r="F37" s="34" t="n">
        <v>536</v>
      </c>
    </row>
    <row r="38">
      <c r="A38" t="inlineStr">
        <is>
          <t>Deferred tax assets</t>
        </is>
      </c>
      <c r="B38" s="20" t="n">
        <v>829</v>
      </c>
      <c r="C38" s="34" t="n">
        <v>829</v>
      </c>
      <c r="D38" s="34" t="n">
        <v>829</v>
      </c>
      <c r="E38" s="34" t="n">
        <v>829</v>
      </c>
      <c r="F38" s="34" t="n">
        <v>829</v>
      </c>
    </row>
    <row r="39">
      <c r="A39" t="inlineStr">
        <is>
          <t>Other assets (NC)</t>
        </is>
      </c>
      <c r="B39" s="20" t="n">
        <v>541</v>
      </c>
      <c r="C39" s="34" t="n">
        <v>541</v>
      </c>
      <c r="D39" s="34" t="n">
        <v>541</v>
      </c>
      <c r="E39" s="34" t="n">
        <v>541</v>
      </c>
      <c r="F39" s="34" t="n">
        <v>541</v>
      </c>
    </row>
    <row r="40">
      <c r="A40" s="2" t="inlineStr">
        <is>
          <t>Total assets</t>
        </is>
      </c>
      <c r="B40" s="22" t="n">
        <v>18074</v>
      </c>
      <c r="C40" s="22" t="n">
        <v>18945</v>
      </c>
      <c r="D40" s="22" t="n">
        <v>18255</v>
      </c>
      <c r="E40" s="22" t="n">
        <v>16531</v>
      </c>
      <c r="F40" s="22" t="n">
        <v>14660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4" t="n">
        <v>147</v>
      </c>
      <c r="D43" s="34" t="n">
        <v>142</v>
      </c>
      <c r="E43" s="34" t="n">
        <v>132</v>
      </c>
      <c r="F43" s="34" t="n">
        <v>122</v>
      </c>
    </row>
    <row r="44">
      <c r="A44" t="inlineStr">
        <is>
          <t>Accrued compensation</t>
        </is>
      </c>
      <c r="B44" s="20" t="n">
        <v>642</v>
      </c>
      <c r="C44" s="34" t="n">
        <v>666</v>
      </c>
      <c r="D44" s="34" t="n">
        <v>644</v>
      </c>
      <c r="E44" s="34" t="n">
        <v>600</v>
      </c>
      <c r="F44" s="34" t="n">
        <v>552</v>
      </c>
    </row>
    <row r="45">
      <c r="A45" t="inlineStr">
        <is>
          <t>Accrued other</t>
        </is>
      </c>
      <c r="B45" s="20" t="n">
        <v>454</v>
      </c>
      <c r="C45" s="34" t="n">
        <v>470</v>
      </c>
      <c r="D45" s="34" t="n">
        <v>455</v>
      </c>
      <c r="E45" s="34" t="n">
        <v>423</v>
      </c>
      <c r="F45" s="34" t="n">
        <v>390</v>
      </c>
    </row>
    <row r="46">
      <c r="A46" t="inlineStr">
        <is>
          <t>Deferred revenue (current)</t>
        </is>
      </c>
      <c r="B46" s="20" t="n">
        <v>5010</v>
      </c>
      <c r="C46" s="34" t="n">
        <v>4879</v>
      </c>
      <c r="D46" s="34" t="n">
        <v>4785</v>
      </c>
      <c r="E46" s="34" t="n">
        <v>4449</v>
      </c>
      <c r="F46" s="34" t="n">
        <v>4099</v>
      </c>
    </row>
    <row r="47">
      <c r="A47" t="inlineStr">
        <is>
          <t>Deferred revenue (NC)</t>
        </is>
      </c>
      <c r="B47" s="20" t="n">
        <v>71</v>
      </c>
      <c r="C47" s="34" t="n">
        <v>71</v>
      </c>
      <c r="D47" s="34" t="n">
        <v>71</v>
      </c>
      <c r="E47" s="34" t="n">
        <v>71</v>
      </c>
      <c r="F47" s="34" t="n">
        <v>71</v>
      </c>
    </row>
    <row r="48">
      <c r="A48" t="inlineStr">
        <is>
          <t>Operating lease liab (current)</t>
        </is>
      </c>
      <c r="B48" s="20" t="n">
        <v>130</v>
      </c>
      <c r="C48" s="34" t="n">
        <v>130</v>
      </c>
      <c r="D48" s="34" t="n">
        <v>130</v>
      </c>
      <c r="E48" s="34" t="n">
        <v>130</v>
      </c>
      <c r="F48" s="34" t="n">
        <v>130</v>
      </c>
    </row>
    <row r="49">
      <c r="A49" t="inlineStr">
        <is>
          <t>Operating lease liab (NC)</t>
        </is>
      </c>
      <c r="B49" s="20" t="n">
        <v>704</v>
      </c>
      <c r="C49" s="34" t="n">
        <v>704</v>
      </c>
      <c r="D49" s="34" t="n">
        <v>704</v>
      </c>
      <c r="E49" s="34" t="n">
        <v>704</v>
      </c>
      <c r="F49" s="34" t="n">
        <v>704</v>
      </c>
    </row>
    <row r="50">
      <c r="A50" t="inlineStr">
        <is>
          <t>Senior convertible notes</t>
        </is>
      </c>
      <c r="B50" s="20" t="n">
        <v>2987</v>
      </c>
      <c r="C50" s="34" t="n">
        <v>2987</v>
      </c>
      <c r="D50" s="34" t="n">
        <v>2987</v>
      </c>
      <c r="E50" s="34" t="n">
        <v>2987</v>
      </c>
      <c r="F50" s="34" t="n">
        <v>2987</v>
      </c>
    </row>
    <row r="51">
      <c r="A51" t="inlineStr">
        <is>
          <t>Other long-term liabilities</t>
        </is>
      </c>
      <c r="B51" s="20" t="n">
        <v>129</v>
      </c>
      <c r="C51" s="34" t="n">
        <v>129</v>
      </c>
      <c r="D51" s="34" t="n">
        <v>129</v>
      </c>
      <c r="E51" s="34" t="n">
        <v>129</v>
      </c>
      <c r="F51" s="34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10183</v>
      </c>
      <c r="D52" s="22" t="n">
        <v>10047</v>
      </c>
      <c r="E52" s="22" t="n">
        <v>9625</v>
      </c>
      <c r="F52" s="22" t="n">
        <v>9183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4" t="n">
        <v>13946</v>
      </c>
      <c r="D55" s="34" t="n">
        <v>14798</v>
      </c>
      <c r="E55" s="34" t="n">
        <v>15327</v>
      </c>
      <c r="F55" s="34" t="n">
        <v>15652</v>
      </c>
    </row>
    <row r="56">
      <c r="A56" t="inlineStr">
        <is>
          <t>Treasury stock</t>
        </is>
      </c>
      <c r="B56" s="20" t="n">
        <v>-4220</v>
      </c>
      <c r="C56" s="34" t="n">
        <v>-5607</v>
      </c>
      <c r="D56" s="34" t="n">
        <v>-7970</v>
      </c>
      <c r="E56" s="34" t="n">
        <v>-10837</v>
      </c>
      <c r="F56" s="34" t="n">
        <v>-13776</v>
      </c>
    </row>
    <row r="57">
      <c r="A57" t="inlineStr">
        <is>
          <t>Retained earnings / (deficit)</t>
        </is>
      </c>
      <c r="B57" s="20" t="n">
        <v>-512</v>
      </c>
      <c r="C57" s="34" t="n">
        <v>559</v>
      </c>
      <c r="D57" s="34" t="n">
        <v>1516</v>
      </c>
      <c r="E57" s="34" t="n">
        <v>2552</v>
      </c>
      <c r="F57" s="34" t="n">
        <v>3737</v>
      </c>
    </row>
    <row r="58">
      <c r="A58" t="inlineStr">
        <is>
          <t>AOCI</t>
        </is>
      </c>
      <c r="B58" s="20" t="n">
        <v>-136</v>
      </c>
      <c r="C58" s="34" t="n">
        <v>-136</v>
      </c>
      <c r="D58" s="34" t="n">
        <v>-136</v>
      </c>
      <c r="E58" s="34" t="n">
        <v>-136</v>
      </c>
      <c r="F58" s="34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8762</v>
      </c>
      <c r="D59" s="22" t="n">
        <v>8208</v>
      </c>
      <c r="E59" s="22" t="n">
        <v>6906</v>
      </c>
      <c r="F59" s="22" t="n">
        <v>5477</v>
      </c>
    </row>
    <row r="61">
      <c r="A61" s="2" t="inlineStr">
        <is>
          <t>Balance check: A − L − E (≈ 0)</t>
        </is>
      </c>
      <c r="B61" s="43" t="n">
        <v>0</v>
      </c>
      <c r="C61" s="43" t="n">
        <v>0</v>
      </c>
      <c r="D61" s="43" t="n">
        <v>0</v>
      </c>
      <c r="E61" s="43" t="n">
        <v>0</v>
      </c>
      <c r="F61" s="43" t="n">
        <v>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4" t="n">
        <v>1375</v>
      </c>
      <c r="D65" s="34" t="n">
        <v>2084</v>
      </c>
      <c r="E65" s="34" t="n">
        <v>2536</v>
      </c>
      <c r="F65" s="34" t="n">
        <v>2743</v>
      </c>
    </row>
    <row r="66">
      <c r="A66" t="inlineStr">
        <is>
          <t>+ Depreciation</t>
        </is>
      </c>
      <c r="B66" s="20" t="n">
        <v>237</v>
      </c>
      <c r="C66" s="34" t="n">
        <v>237</v>
      </c>
      <c r="D66" s="34" t="n">
        <v>252</v>
      </c>
      <c r="E66" s="34" t="n">
        <v>267</v>
      </c>
      <c r="F66" s="34" t="n">
        <v>282</v>
      </c>
    </row>
    <row r="67">
      <c r="A67" t="inlineStr">
        <is>
          <t>+ Amortization of intangibles</t>
        </is>
      </c>
      <c r="B67" s="20" t="n">
        <v>100</v>
      </c>
      <c r="C67" s="34" t="n">
        <v>100</v>
      </c>
      <c r="D67" s="34" t="n">
        <v>100</v>
      </c>
      <c r="E67" s="34" t="n">
        <v>100</v>
      </c>
      <c r="F67" s="34" t="n">
        <v>100</v>
      </c>
    </row>
    <row r="68">
      <c r="A68" t="inlineStr">
        <is>
          <t>+ Stock-based compensation</t>
        </is>
      </c>
      <c r="B68" s="20" t="n">
        <v>1626</v>
      </c>
      <c r="C68" s="34" t="n">
        <v>1273</v>
      </c>
      <c r="D68" s="34" t="n">
        <v>852</v>
      </c>
      <c r="E68" s="34" t="n">
        <v>529</v>
      </c>
      <c r="F68" s="34" t="n">
        <v>325</v>
      </c>
    </row>
    <row r="69">
      <c r="A69" t="inlineStr">
        <is>
          <t>± Change in AR</t>
        </is>
      </c>
      <c r="B69" s="42" t="n"/>
      <c r="C69" s="44" t="n">
        <v>-59</v>
      </c>
      <c r="D69" s="44" t="n">
        <v>78</v>
      </c>
      <c r="E69" s="44" t="n">
        <v>159</v>
      </c>
      <c r="F69" s="44" t="n">
        <v>172</v>
      </c>
    </row>
    <row r="70">
      <c r="A70" t="inlineStr">
        <is>
          <t>± Change in deferred revenue</t>
        </is>
      </c>
      <c r="B70" s="42" t="n"/>
      <c r="C70" s="44" t="n">
        <v>-131</v>
      </c>
      <c r="D70" s="44" t="n">
        <v>-94</v>
      </c>
      <c r="E70" s="44" t="n">
        <v>-336</v>
      </c>
      <c r="F70" s="44" t="n">
        <v>-349</v>
      </c>
    </row>
    <row r="71">
      <c r="A71" t="inlineStr">
        <is>
          <t>± Change in accrued comp</t>
        </is>
      </c>
      <c r="B71" s="42" t="n"/>
      <c r="C71" s="44" t="n">
        <v>24</v>
      </c>
      <c r="D71" s="44" t="n">
        <v>-22</v>
      </c>
      <c r="E71" s="44" t="n">
        <v>-44</v>
      </c>
      <c r="F71" s="44" t="n">
        <v>-48</v>
      </c>
    </row>
    <row r="72">
      <c r="A72" t="inlineStr">
        <is>
          <t>± Change in AP + accrued other</t>
        </is>
      </c>
      <c r="B72" s="42" t="n"/>
      <c r="C72" s="44" t="n">
        <v>21</v>
      </c>
      <c r="D72" s="44" t="n">
        <v>-20</v>
      </c>
      <c r="E72" s="44" t="n">
        <v>-41</v>
      </c>
      <c r="F72" s="44" t="n">
        <v>-44</v>
      </c>
    </row>
    <row r="73">
      <c r="A73" t="inlineStr">
        <is>
          <t>± Change in prepaid</t>
        </is>
      </c>
      <c r="B73" s="42" t="n"/>
      <c r="C73" s="44" t="n">
        <v>-5</v>
      </c>
      <c r="D73" s="44" t="n">
        <v>12</v>
      </c>
      <c r="E73" s="44" t="n">
        <v>23</v>
      </c>
      <c r="F73" s="44" t="n">
        <v>25</v>
      </c>
    </row>
    <row r="74">
      <c r="A74" t="inlineStr">
        <is>
          <t>± Change in deferred costs</t>
        </is>
      </c>
      <c r="B74" s="42" t="n"/>
      <c r="C74" s="44" t="n">
        <v>-20</v>
      </c>
      <c r="D74" s="44" t="n">
        <v>31</v>
      </c>
      <c r="E74" s="44" t="n">
        <v>64</v>
      </c>
      <c r="F74" s="44" t="n">
        <v>69</v>
      </c>
    </row>
    <row r="75">
      <c r="A75" s="2">
        <f> Operating cash flow</f>
        <v/>
      </c>
      <c r="B75" s="22" t="n">
        <v>2939</v>
      </c>
      <c r="C75" s="22" t="n">
        <v>2816</v>
      </c>
      <c r="D75" s="22" t="n">
        <v>3273</v>
      </c>
      <c r="E75" s="22" t="n">
        <v>3256</v>
      </c>
      <c r="F75" s="22" t="n">
        <v>3275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4" t="n">
        <v>-196</v>
      </c>
      <c r="D78" s="34" t="n">
        <v>-189</v>
      </c>
      <c r="E78" s="34" t="n">
        <v>-176</v>
      </c>
      <c r="F78" s="34" t="n">
        <v>-162</v>
      </c>
    </row>
    <row r="79">
      <c r="A79" t="inlineStr">
        <is>
          <t>− Acquisitions</t>
        </is>
      </c>
      <c r="B79" s="20" t="n"/>
      <c r="C79" s="34" t="n">
        <v>0</v>
      </c>
      <c r="D79" s="34" t="n">
        <v>0</v>
      </c>
      <c r="E79" s="34" t="n">
        <v>0</v>
      </c>
      <c r="F79" s="34" t="n">
        <v>0</v>
      </c>
    </row>
    <row r="80">
      <c r="A80" t="inlineStr">
        <is>
          <t>± Net marketable securities</t>
        </is>
      </c>
      <c r="B80" s="20" t="n"/>
      <c r="C80" s="34" t="n">
        <v>0</v>
      </c>
      <c r="D80" s="34" t="n">
        <v>0</v>
      </c>
      <c r="E80" s="34" t="n">
        <v>0</v>
      </c>
      <c r="F80" s="34" t="n">
        <v>0</v>
      </c>
    </row>
    <row r="81">
      <c r="A81" s="2">
        <f> Investing cash flow</f>
        <v/>
      </c>
      <c r="B81" s="22" t="n">
        <v>-162</v>
      </c>
      <c r="C81" s="22" t="n">
        <v>-196</v>
      </c>
      <c r="D81" s="22" t="n">
        <v>-189</v>
      </c>
      <c r="E81" s="22" t="n">
        <v>-176</v>
      </c>
      <c r="F81" s="22" t="n">
        <v>-162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4" t="n">
        <v>-1387</v>
      </c>
      <c r="D84" s="34" t="n">
        <v>-2363</v>
      </c>
      <c r="E84" s="34" t="n">
        <v>-2867</v>
      </c>
      <c r="F84" s="34" t="n">
        <v>-2939</v>
      </c>
    </row>
    <row r="85">
      <c r="A85" t="inlineStr">
        <is>
          <t>− Dividends</t>
        </is>
      </c>
      <c r="B85" s="20" t="n"/>
      <c r="C85" s="34" t="n">
        <v>-304</v>
      </c>
      <c r="D85" s="34" t="n">
        <v>-1127</v>
      </c>
      <c r="E85" s="34" t="n">
        <v>-1500</v>
      </c>
      <c r="F85" s="34" t="n">
        <v>-1558</v>
      </c>
    </row>
    <row r="86">
      <c r="A86" t="inlineStr">
        <is>
          <t>± Net debt</t>
        </is>
      </c>
      <c r="B86" s="20" t="n"/>
      <c r="C86" s="34" t="n">
        <v>0</v>
      </c>
      <c r="D86" s="34" t="n">
        <v>0</v>
      </c>
      <c r="E86" s="34" t="n">
        <v>0</v>
      </c>
      <c r="F86" s="34" t="n">
        <v>0</v>
      </c>
    </row>
    <row r="87">
      <c r="A87" s="2">
        <f> Financing cash flow</f>
        <v/>
      </c>
      <c r="B87" s="22" t="n"/>
      <c r="C87" s="22" t="n">
        <v>-1691</v>
      </c>
      <c r="D87" s="22" t="n">
        <v>-3490</v>
      </c>
      <c r="E87" s="22" t="n">
        <v>-4367</v>
      </c>
      <c r="F87" s="22" t="n">
        <v>-4497</v>
      </c>
    </row>
    <row r="89">
      <c r="A89" s="2" t="inlineStr">
        <is>
          <t>Net change in cash</t>
        </is>
      </c>
      <c r="B89" s="20" t="n"/>
      <c r="C89" s="34" t="n">
        <v>929</v>
      </c>
      <c r="D89" s="34" t="n">
        <v>-406</v>
      </c>
      <c r="E89" s="34" t="n">
        <v>-1287</v>
      </c>
      <c r="F89" s="34" t="n">
        <v>-1384</v>
      </c>
    </row>
    <row r="90">
      <c r="A90" s="2" t="inlineStr">
        <is>
          <t>Beginning cash (FY26 = $1,501M)</t>
        </is>
      </c>
      <c r="B90" s="20" t="n">
        <v>1501</v>
      </c>
      <c r="C90" s="34" t="n">
        <v>1501</v>
      </c>
      <c r="D90" s="34" t="n">
        <v>2430</v>
      </c>
      <c r="E90" s="34" t="n">
        <v>2024</v>
      </c>
      <c r="F90" s="34" t="n">
        <v>738</v>
      </c>
    </row>
    <row r="91">
      <c r="A91" s="2" t="inlineStr">
        <is>
          <t>Ending cash (= BS cash)</t>
        </is>
      </c>
      <c r="B91" s="22" t="n">
        <v>1501</v>
      </c>
      <c r="C91" s="22" t="n">
        <v>2430</v>
      </c>
      <c r="D91" s="22" t="n">
        <v>2024</v>
      </c>
      <c r="E91" s="22" t="n">
        <v>738</v>
      </c>
      <c r="F91" s="22" t="n">
        <v>-646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What Goes Wrong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4">
        <f>Assumptions!C72*Assumptions!C76*12</f>
        <v/>
      </c>
      <c r="D6" s="34">
        <f>Assumptions!D72*Assumptions!D76*12</f>
        <v/>
      </c>
      <c r="E6" s="34">
        <f>Assumptions!E72*Assumptions!E76*12</f>
        <v/>
      </c>
      <c r="F6" s="34">
        <f>Assumptions!F72*Assumptions!F76*12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4">
        <f>Assumptions!C84*Assumptions!C88/1000</f>
        <v/>
      </c>
      <c r="D7" s="34">
        <f>Assumptions!D84*Assumptions!D88/1000</f>
        <v/>
      </c>
      <c r="E7" s="34">
        <f>Assumptions!E84*Assumptions!E88/1000</f>
        <v/>
      </c>
      <c r="F7" s="34">
        <f>Assumptions!F84*Assumptions!F88/1000</f>
        <v/>
      </c>
    </row>
    <row r="8">
      <c r="A8" t="inlineStr">
        <is>
          <t xml:space="preserve">  AI ARR (recognized)</t>
        </is>
      </c>
      <c r="B8" s="20" t="n">
        <v>400</v>
      </c>
      <c r="C8" s="34">
        <f>Revenue_Build!B50</f>
        <v/>
      </c>
      <c r="D8" s="34">
        <f>Revenue_Build!C50</f>
        <v/>
      </c>
      <c r="E8" s="34">
        <f>Revenue_Build!D50</f>
        <v/>
      </c>
      <c r="F8" s="34">
        <f>Revenue_Build!E50</f>
        <v/>
      </c>
    </row>
    <row r="9">
      <c r="A9" t="inlineStr">
        <is>
          <t xml:space="preserve">  Services</t>
        </is>
      </c>
      <c r="B9" s="20" t="n">
        <v>719</v>
      </c>
      <c r="C9" s="34">
        <f>Revenue_Build!B52</f>
        <v/>
      </c>
      <c r="D9" s="34">
        <f>Revenue_Build!C52</f>
        <v/>
      </c>
      <c r="E9" s="34">
        <f>Revenue_Build!D52</f>
        <v/>
      </c>
      <c r="F9" s="34">
        <f>Revenue_Build!E52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4" t="n">
        <v>2389</v>
      </c>
      <c r="D11" s="34" t="n">
        <v>2205</v>
      </c>
      <c r="E11" s="34" t="n">
        <v>2014</v>
      </c>
      <c r="F11" s="34" t="n">
        <v>1807</v>
      </c>
    </row>
    <row r="12">
      <c r="A12" s="2" t="inlineStr">
        <is>
          <t>Gross profit</t>
        </is>
      </c>
      <c r="B12" s="22" t="n">
        <v>6928</v>
      </c>
      <c r="C12" s="22" t="n">
        <v>6958</v>
      </c>
      <c r="D12" s="22" t="n">
        <v>6399</v>
      </c>
      <c r="E12" s="22" t="n">
        <v>5788</v>
      </c>
      <c r="F12" s="22" t="n">
        <v>5203</v>
      </c>
    </row>
    <row r="13">
      <c r="A13" t="inlineStr">
        <is>
          <t>R&amp;D</t>
        </is>
      </c>
      <c r="B13" s="20" t="n">
        <v>2679</v>
      </c>
      <c r="C13" s="34" t="n">
        <v>2430</v>
      </c>
      <c r="D13" s="34" t="n">
        <v>1979</v>
      </c>
      <c r="E13" s="34" t="n">
        <v>1560</v>
      </c>
      <c r="F13" s="34" t="n">
        <v>1262</v>
      </c>
    </row>
    <row r="14">
      <c r="A14" t="inlineStr">
        <is>
          <t>S&amp;M</t>
        </is>
      </c>
      <c r="B14" s="20" t="n">
        <v>2616</v>
      </c>
      <c r="C14" s="34" t="n">
        <v>2243</v>
      </c>
      <c r="D14" s="34" t="n">
        <v>1807</v>
      </c>
      <c r="E14" s="34" t="n">
        <v>1404</v>
      </c>
      <c r="F14" s="34" t="n">
        <v>1122</v>
      </c>
    </row>
    <row r="15">
      <c r="A15" t="inlineStr">
        <is>
          <t>G&amp;A</t>
        </is>
      </c>
      <c r="B15" s="20" t="n">
        <v>912</v>
      </c>
      <c r="C15" s="34" t="n">
        <v>841</v>
      </c>
      <c r="D15" s="34" t="n">
        <v>688</v>
      </c>
      <c r="E15" s="34" t="n">
        <v>585</v>
      </c>
      <c r="F15" s="34" t="n">
        <v>491</v>
      </c>
    </row>
    <row r="16">
      <c r="A16" s="2" t="inlineStr">
        <is>
          <t>Operating income</t>
        </is>
      </c>
      <c r="B16" s="22" t="n">
        <v>721</v>
      </c>
      <c r="C16" s="22" t="n">
        <v>1169</v>
      </c>
      <c r="D16" s="22" t="n">
        <v>1673</v>
      </c>
      <c r="E16" s="22" t="n">
        <v>2009</v>
      </c>
      <c r="F16" s="22" t="n">
        <v>2123</v>
      </c>
    </row>
    <row r="17">
      <c r="A17" t="inlineStr">
        <is>
          <t xml:space="preserve">  Operating margin %</t>
        </is>
      </c>
      <c r="B17" s="10" t="n">
        <v>0.07548157453936348</v>
      </c>
      <c r="C17" s="33" t="n">
        <v>0.1251</v>
      </c>
      <c r="D17" s="33" t="n">
        <v>0.1945</v>
      </c>
      <c r="E17" s="33" t="n">
        <v>0.2575</v>
      </c>
      <c r="F17" s="33" t="n">
        <v>0.3029</v>
      </c>
    </row>
    <row r="18">
      <c r="A18" t="inlineStr">
        <is>
          <t>Interest income (4% on cash+sec)</t>
        </is>
      </c>
      <c r="B18" s="13" t="n">
        <v>318</v>
      </c>
      <c r="C18" s="31" t="n">
        <v>218</v>
      </c>
      <c r="D18" s="31" t="n">
        <v>288</v>
      </c>
      <c r="E18" s="31" t="n">
        <v>327</v>
      </c>
      <c r="F18" s="31" t="n">
        <v>346</v>
      </c>
    </row>
    <row r="19">
      <c r="A19" t="inlineStr">
        <is>
          <t>Interest expense (3.5% on debt)</t>
        </is>
      </c>
      <c r="B19" s="20" t="n">
        <v>-105</v>
      </c>
      <c r="C19" s="34" t="n">
        <v>-105</v>
      </c>
      <c r="D19" s="34" t="n">
        <v>-105</v>
      </c>
      <c r="E19" s="34" t="n">
        <v>-105</v>
      </c>
      <c r="F19" s="34" t="n">
        <v>-105</v>
      </c>
    </row>
    <row r="20">
      <c r="A20" s="2" t="inlineStr">
        <is>
          <t>Pre-tax income</t>
        </is>
      </c>
      <c r="B20" s="20" t="n">
        <v>1009</v>
      </c>
      <c r="C20" s="34" t="n">
        <v>1283</v>
      </c>
      <c r="D20" s="34" t="n">
        <v>1856</v>
      </c>
      <c r="E20" s="34" t="n">
        <v>2232</v>
      </c>
      <c r="F20" s="34" t="n">
        <v>2365</v>
      </c>
    </row>
    <row r="21">
      <c r="A21" t="inlineStr">
        <is>
          <t>Tax expense (25% effective)</t>
        </is>
      </c>
      <c r="B21" s="20" t="n">
        <v>-316</v>
      </c>
      <c r="C21" s="34" t="n">
        <v>-321</v>
      </c>
      <c r="D21" s="34" t="n">
        <v>-464</v>
      </c>
      <c r="E21" s="34" t="n">
        <v>-558</v>
      </c>
      <c r="F21" s="34" t="n">
        <v>-591</v>
      </c>
    </row>
    <row r="22">
      <c r="A22" s="2" t="inlineStr">
        <is>
          <t>Net income (GAAP)</t>
        </is>
      </c>
      <c r="B22" s="22" t="n">
        <v>693</v>
      </c>
      <c r="C22" s="22" t="n">
        <v>962</v>
      </c>
      <c r="D22" s="22" t="n">
        <v>1392</v>
      </c>
      <c r="E22" s="22" t="n">
        <v>1674</v>
      </c>
      <c r="F22" s="22" t="n">
        <v>1774</v>
      </c>
    </row>
    <row r="23">
      <c r="A23" t="inlineStr">
        <is>
          <t>Diluted shares (M)</t>
        </is>
      </c>
      <c r="B23" s="11" t="n">
        <v>268</v>
      </c>
      <c r="C23" s="29" t="n">
        <v>261.3</v>
      </c>
      <c r="D23" s="29" t="n">
        <v>252.2</v>
      </c>
      <c r="E23" s="29" t="n">
        <v>242.1</v>
      </c>
      <c r="F23" s="29" t="n">
        <v>232.4</v>
      </c>
    </row>
    <row r="24">
      <c r="A24" s="2" t="inlineStr">
        <is>
          <t>Diluted EPS</t>
        </is>
      </c>
      <c r="B24" s="6" t="n">
        <v>2.59</v>
      </c>
      <c r="C24" s="30" t="n">
        <v>3.68</v>
      </c>
      <c r="D24" s="30" t="n">
        <v>5.52</v>
      </c>
      <c r="E24" s="30" t="n">
        <v>6.91</v>
      </c>
      <c r="F24" s="30" t="n">
        <v>7.63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4" t="n">
        <v>2850</v>
      </c>
      <c r="D28" s="34" t="n">
        <v>3977</v>
      </c>
      <c r="E28" s="34" t="n">
        <v>4958</v>
      </c>
      <c r="F28" s="34" t="n">
        <v>6097</v>
      </c>
    </row>
    <row r="29">
      <c r="A29" t="inlineStr">
        <is>
          <t>Marketable securities</t>
        </is>
      </c>
      <c r="B29" s="20" t="n">
        <v>3942</v>
      </c>
      <c r="C29" s="34" t="n">
        <v>3942</v>
      </c>
      <c r="D29" s="34" t="n">
        <v>3942</v>
      </c>
      <c r="E29" s="34" t="n">
        <v>3942</v>
      </c>
      <c r="F29" s="34" t="n">
        <v>3942</v>
      </c>
    </row>
    <row r="30">
      <c r="A30" t="inlineStr">
        <is>
          <t>Accounts receivable</t>
        </is>
      </c>
      <c r="B30" s="20" t="n">
        <v>2332</v>
      </c>
      <c r="C30" s="34" t="n">
        <v>2282</v>
      </c>
      <c r="D30" s="34" t="n">
        <v>2101</v>
      </c>
      <c r="E30" s="34" t="n">
        <v>1905</v>
      </c>
      <c r="F30" s="34" t="n">
        <v>1711</v>
      </c>
    </row>
    <row r="31">
      <c r="A31" t="inlineStr">
        <is>
          <t>Prepaid + other current</t>
        </is>
      </c>
      <c r="B31" s="20" t="n">
        <v>348</v>
      </c>
      <c r="C31" s="34" t="n">
        <v>336</v>
      </c>
      <c r="D31" s="34" t="n">
        <v>310</v>
      </c>
      <c r="E31" s="34" t="n">
        <v>281</v>
      </c>
      <c r="F31" s="34" t="n">
        <v>252</v>
      </c>
    </row>
    <row r="32">
      <c r="A32" t="inlineStr">
        <is>
          <t>Deferred costs (current)</t>
        </is>
      </c>
      <c r="B32" s="20" t="n">
        <v>306</v>
      </c>
      <c r="C32" s="34" t="n">
        <v>299</v>
      </c>
      <c r="D32" s="34" t="n">
        <v>275</v>
      </c>
      <c r="E32" s="34" t="n">
        <v>250</v>
      </c>
      <c r="F32" s="34" t="n">
        <v>224</v>
      </c>
    </row>
    <row r="33">
      <c r="A33" t="inlineStr">
        <is>
          <t>Property, plant &amp; equipment</t>
        </is>
      </c>
      <c r="B33" s="20" t="n">
        <v>1093</v>
      </c>
      <c r="C33" s="34" t="n">
        <v>1043</v>
      </c>
      <c r="D33" s="34" t="n">
        <v>963</v>
      </c>
      <c r="E33" s="34" t="n">
        <v>852</v>
      </c>
      <c r="F33" s="34" t="n">
        <v>710</v>
      </c>
    </row>
    <row r="34">
      <c r="A34" t="inlineStr">
        <is>
          <t>Operating lease ROU</t>
        </is>
      </c>
      <c r="B34" s="20" t="n">
        <v>719</v>
      </c>
      <c r="C34" s="34" t="n">
        <v>719</v>
      </c>
      <c r="D34" s="34" t="n">
        <v>719</v>
      </c>
      <c r="E34" s="34" t="n">
        <v>719</v>
      </c>
      <c r="F34" s="34" t="n">
        <v>719</v>
      </c>
    </row>
    <row r="35">
      <c r="A35" t="inlineStr">
        <is>
          <t>Goodwill</t>
        </is>
      </c>
      <c r="B35" s="20" t="n">
        <v>5229</v>
      </c>
      <c r="C35" s="34" t="n">
        <v>5229</v>
      </c>
      <c r="D35" s="34" t="n">
        <v>5229</v>
      </c>
      <c r="E35" s="34" t="n">
        <v>5229</v>
      </c>
      <c r="F35" s="34" t="n">
        <v>5229</v>
      </c>
    </row>
    <row r="36">
      <c r="A36" t="inlineStr">
        <is>
          <t>Intangibles (net)</t>
        </is>
      </c>
      <c r="B36" s="20" t="n">
        <v>600</v>
      </c>
      <c r="C36" s="34" t="n">
        <v>500</v>
      </c>
      <c r="D36" s="34" t="n">
        <v>400</v>
      </c>
      <c r="E36" s="34" t="n">
        <v>300</v>
      </c>
      <c r="F36" s="34" t="n">
        <v>200</v>
      </c>
    </row>
    <row r="37">
      <c r="A37" t="inlineStr">
        <is>
          <t>Deferred contract costs (NC)</t>
        </is>
      </c>
      <c r="B37" s="20" t="n">
        <v>634</v>
      </c>
      <c r="C37" s="34" t="n">
        <v>617</v>
      </c>
      <c r="D37" s="34" t="n">
        <v>568</v>
      </c>
      <c r="E37" s="34" t="n">
        <v>515</v>
      </c>
      <c r="F37" s="34" t="n">
        <v>463</v>
      </c>
    </row>
    <row r="38">
      <c r="A38" t="inlineStr">
        <is>
          <t>Deferred tax assets</t>
        </is>
      </c>
      <c r="B38" s="20" t="n">
        <v>829</v>
      </c>
      <c r="C38" s="34" t="n">
        <v>829</v>
      </c>
      <c r="D38" s="34" t="n">
        <v>829</v>
      </c>
      <c r="E38" s="34" t="n">
        <v>829</v>
      </c>
      <c r="F38" s="34" t="n">
        <v>829</v>
      </c>
    </row>
    <row r="39">
      <c r="A39" t="inlineStr">
        <is>
          <t>Other assets (NC)</t>
        </is>
      </c>
      <c r="B39" s="20" t="n">
        <v>541</v>
      </c>
      <c r="C39" s="34" t="n">
        <v>541</v>
      </c>
      <c r="D39" s="34" t="n">
        <v>541</v>
      </c>
      <c r="E39" s="34" t="n">
        <v>541</v>
      </c>
      <c r="F39" s="34" t="n">
        <v>541</v>
      </c>
    </row>
    <row r="40">
      <c r="A40" s="2" t="inlineStr">
        <is>
          <t>Total assets</t>
        </is>
      </c>
      <c r="B40" s="22" t="n">
        <v>18074</v>
      </c>
      <c r="C40" s="22" t="n">
        <v>19187</v>
      </c>
      <c r="D40" s="22" t="n">
        <v>19853</v>
      </c>
      <c r="E40" s="22" t="n">
        <v>20320</v>
      </c>
      <c r="F40" s="22" t="n">
        <v>20918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4" t="n">
        <v>140</v>
      </c>
      <c r="D43" s="34" t="n">
        <v>129</v>
      </c>
      <c r="E43" s="34" t="n">
        <v>117</v>
      </c>
      <c r="F43" s="34" t="n">
        <v>105</v>
      </c>
    </row>
    <row r="44">
      <c r="A44" t="inlineStr">
        <is>
          <t>Accrued compensation</t>
        </is>
      </c>
      <c r="B44" s="20" t="n">
        <v>642</v>
      </c>
      <c r="C44" s="34" t="n">
        <v>636</v>
      </c>
      <c r="D44" s="34" t="n">
        <v>585</v>
      </c>
      <c r="E44" s="34" t="n">
        <v>531</v>
      </c>
      <c r="F44" s="34" t="n">
        <v>477</v>
      </c>
    </row>
    <row r="45">
      <c r="A45" t="inlineStr">
        <is>
          <t>Accrued other</t>
        </is>
      </c>
      <c r="B45" s="20" t="n">
        <v>454</v>
      </c>
      <c r="C45" s="34" t="n">
        <v>449</v>
      </c>
      <c r="D45" s="34" t="n">
        <v>413</v>
      </c>
      <c r="E45" s="34" t="n">
        <v>374</v>
      </c>
      <c r="F45" s="34" t="n">
        <v>336</v>
      </c>
    </row>
    <row r="46">
      <c r="A46" t="inlineStr">
        <is>
          <t>Deferred revenue (current)</t>
        </is>
      </c>
      <c r="B46" s="20" t="n">
        <v>5010</v>
      </c>
      <c r="C46" s="34" t="n">
        <v>4640</v>
      </c>
      <c r="D46" s="34" t="n">
        <v>4317</v>
      </c>
      <c r="E46" s="34" t="n">
        <v>3904</v>
      </c>
      <c r="F46" s="34" t="n">
        <v>3506</v>
      </c>
    </row>
    <row r="47">
      <c r="A47" t="inlineStr">
        <is>
          <t>Deferred revenue (NC)</t>
        </is>
      </c>
      <c r="B47" s="20" t="n">
        <v>71</v>
      </c>
      <c r="C47" s="34" t="n">
        <v>71</v>
      </c>
      <c r="D47" s="34" t="n">
        <v>71</v>
      </c>
      <c r="E47" s="34" t="n">
        <v>71</v>
      </c>
      <c r="F47" s="34" t="n">
        <v>71</v>
      </c>
    </row>
    <row r="48">
      <c r="A48" t="inlineStr">
        <is>
          <t>Operating lease liab (current)</t>
        </is>
      </c>
      <c r="B48" s="20" t="n">
        <v>130</v>
      </c>
      <c r="C48" s="34" t="n">
        <v>130</v>
      </c>
      <c r="D48" s="34" t="n">
        <v>130</v>
      </c>
      <c r="E48" s="34" t="n">
        <v>130</v>
      </c>
      <c r="F48" s="34" t="n">
        <v>130</v>
      </c>
    </row>
    <row r="49">
      <c r="A49" t="inlineStr">
        <is>
          <t>Operating lease liab (NC)</t>
        </is>
      </c>
      <c r="B49" s="20" t="n">
        <v>704</v>
      </c>
      <c r="C49" s="34" t="n">
        <v>704</v>
      </c>
      <c r="D49" s="34" t="n">
        <v>704</v>
      </c>
      <c r="E49" s="34" t="n">
        <v>704</v>
      </c>
      <c r="F49" s="34" t="n">
        <v>704</v>
      </c>
    </row>
    <row r="50">
      <c r="A50" t="inlineStr">
        <is>
          <t>Senior convertible notes</t>
        </is>
      </c>
      <c r="B50" s="20" t="n">
        <v>2987</v>
      </c>
      <c r="C50" s="34" t="n">
        <v>2987</v>
      </c>
      <c r="D50" s="34" t="n">
        <v>2987</v>
      </c>
      <c r="E50" s="34" t="n">
        <v>2987</v>
      </c>
      <c r="F50" s="34" t="n">
        <v>2987</v>
      </c>
    </row>
    <row r="51">
      <c r="A51" t="inlineStr">
        <is>
          <t>Other long-term liabilities</t>
        </is>
      </c>
      <c r="B51" s="20" t="n">
        <v>129</v>
      </c>
      <c r="C51" s="34" t="n">
        <v>129</v>
      </c>
      <c r="D51" s="34" t="n">
        <v>129</v>
      </c>
      <c r="E51" s="34" t="n">
        <v>129</v>
      </c>
      <c r="F51" s="34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9885</v>
      </c>
      <c r="D52" s="22" t="n">
        <v>9465</v>
      </c>
      <c r="E52" s="22" t="n">
        <v>8947</v>
      </c>
      <c r="F52" s="22" t="n">
        <v>8446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4" t="n">
        <v>14075</v>
      </c>
      <c r="D55" s="34" t="n">
        <v>15193</v>
      </c>
      <c r="E55" s="34" t="n">
        <v>16051</v>
      </c>
      <c r="F55" s="34" t="n">
        <v>16752</v>
      </c>
    </row>
    <row r="56">
      <c r="A56" t="inlineStr">
        <is>
          <t>Treasury stock</t>
        </is>
      </c>
      <c r="B56" s="20" t="n">
        <v>-4220</v>
      </c>
      <c r="C56" s="34" t="n">
        <v>-5087</v>
      </c>
      <c r="D56" s="34" t="n">
        <v>-6150</v>
      </c>
      <c r="E56" s="34" t="n">
        <v>-7190</v>
      </c>
      <c r="F56" s="34" t="n">
        <v>-8061</v>
      </c>
    </row>
    <row r="57">
      <c r="A57" t="inlineStr">
        <is>
          <t>Retained earnings / (deficit)</t>
        </is>
      </c>
      <c r="B57" s="20" t="n">
        <v>-512</v>
      </c>
      <c r="C57" s="34" t="n">
        <v>450</v>
      </c>
      <c r="D57" s="34" t="n">
        <v>1481</v>
      </c>
      <c r="E57" s="34" t="n">
        <v>2648</v>
      </c>
      <c r="F57" s="34" t="n">
        <v>3917</v>
      </c>
    </row>
    <row r="58">
      <c r="A58" t="inlineStr">
        <is>
          <t>AOCI</t>
        </is>
      </c>
      <c r="B58" s="20" t="n">
        <v>-136</v>
      </c>
      <c r="C58" s="34" t="n">
        <v>-136</v>
      </c>
      <c r="D58" s="34" t="n">
        <v>-136</v>
      </c>
      <c r="E58" s="34" t="n">
        <v>-136</v>
      </c>
      <c r="F58" s="34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9302</v>
      </c>
      <c r="D59" s="22" t="n">
        <v>10388</v>
      </c>
      <c r="E59" s="22" t="n">
        <v>11373</v>
      </c>
      <c r="F59" s="22" t="n">
        <v>12472</v>
      </c>
    </row>
    <row r="61">
      <c r="A61" s="2" t="inlineStr">
        <is>
          <t>Balance check: A − L − E (≈ 0)</t>
        </is>
      </c>
      <c r="B61" s="43" t="n">
        <v>0</v>
      </c>
      <c r="C61" s="43" t="n">
        <v>0</v>
      </c>
      <c r="D61" s="43" t="n">
        <v>0</v>
      </c>
      <c r="E61" s="43" t="n">
        <v>0</v>
      </c>
      <c r="F61" s="43" t="n">
        <v>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4" t="n">
        <v>962</v>
      </c>
      <c r="D65" s="34" t="n">
        <v>1392</v>
      </c>
      <c r="E65" s="34" t="n">
        <v>1674</v>
      </c>
      <c r="F65" s="34" t="n">
        <v>1774</v>
      </c>
    </row>
    <row r="66">
      <c r="A66" t="inlineStr">
        <is>
          <t>+ Depreciation</t>
        </is>
      </c>
      <c r="B66" s="20" t="n">
        <v>237</v>
      </c>
      <c r="C66" s="34" t="n">
        <v>237</v>
      </c>
      <c r="D66" s="34" t="n">
        <v>252</v>
      </c>
      <c r="E66" s="34" t="n">
        <v>267</v>
      </c>
      <c r="F66" s="34" t="n">
        <v>282</v>
      </c>
    </row>
    <row r="67">
      <c r="A67" t="inlineStr">
        <is>
          <t>+ Amortization of intangibles</t>
        </is>
      </c>
      <c r="B67" s="20" t="n">
        <v>100</v>
      </c>
      <c r="C67" s="34" t="n">
        <v>100</v>
      </c>
      <c r="D67" s="34" t="n">
        <v>100</v>
      </c>
      <c r="E67" s="34" t="n">
        <v>100</v>
      </c>
      <c r="F67" s="34" t="n">
        <v>100</v>
      </c>
    </row>
    <row r="68">
      <c r="A68" t="inlineStr">
        <is>
          <t>+ Stock-based compensation</t>
        </is>
      </c>
      <c r="B68" s="20" t="n">
        <v>1626</v>
      </c>
      <c r="C68" s="34" t="n">
        <v>1402</v>
      </c>
      <c r="D68" s="34" t="n">
        <v>1118</v>
      </c>
      <c r="E68" s="34" t="n">
        <v>858</v>
      </c>
      <c r="F68" s="34" t="n">
        <v>701</v>
      </c>
    </row>
    <row r="69">
      <c r="A69" t="inlineStr">
        <is>
          <t>± Change in AR</t>
        </is>
      </c>
      <c r="B69" s="42" t="n"/>
      <c r="C69" s="44" t="n">
        <v>50</v>
      </c>
      <c r="D69" s="44" t="n">
        <v>181</v>
      </c>
      <c r="E69" s="44" t="n">
        <v>196</v>
      </c>
      <c r="F69" s="44" t="n">
        <v>193</v>
      </c>
    </row>
    <row r="70">
      <c r="A70" t="inlineStr">
        <is>
          <t>± Change in deferred revenue</t>
        </is>
      </c>
      <c r="B70" s="42" t="n"/>
      <c r="C70" s="44" t="n">
        <v>-370</v>
      </c>
      <c r="D70" s="44" t="n">
        <v>-322</v>
      </c>
      <c r="E70" s="44" t="n">
        <v>-413</v>
      </c>
      <c r="F70" s="44" t="n">
        <v>-398</v>
      </c>
    </row>
    <row r="71">
      <c r="A71" t="inlineStr">
        <is>
          <t>± Change in accrued comp</t>
        </is>
      </c>
      <c r="B71" s="42" t="n"/>
      <c r="C71" s="44" t="n">
        <v>-6</v>
      </c>
      <c r="D71" s="44" t="n">
        <v>-51</v>
      </c>
      <c r="E71" s="44" t="n">
        <v>-55</v>
      </c>
      <c r="F71" s="44" t="n">
        <v>-54</v>
      </c>
    </row>
    <row r="72">
      <c r="A72" t="inlineStr">
        <is>
          <t>± Change in AP + accrued other</t>
        </is>
      </c>
      <c r="B72" s="42" t="n"/>
      <c r="C72" s="44" t="n">
        <v>-7</v>
      </c>
      <c r="D72" s="44" t="n">
        <v>-47</v>
      </c>
      <c r="E72" s="44" t="n">
        <v>-51</v>
      </c>
      <c r="F72" s="44" t="n">
        <v>-50</v>
      </c>
    </row>
    <row r="73">
      <c r="A73" t="inlineStr">
        <is>
          <t>± Change in prepaid</t>
        </is>
      </c>
      <c r="B73" s="42" t="n"/>
      <c r="C73" s="44" t="n">
        <v>12</v>
      </c>
      <c r="D73" s="44" t="n">
        <v>27</v>
      </c>
      <c r="E73" s="44" t="n">
        <v>29</v>
      </c>
      <c r="F73" s="44" t="n">
        <v>29</v>
      </c>
    </row>
    <row r="74">
      <c r="A74" t="inlineStr">
        <is>
          <t>± Change in deferred costs</t>
        </is>
      </c>
      <c r="B74" s="42" t="n"/>
      <c r="C74" s="44" t="n">
        <v>24</v>
      </c>
      <c r="D74" s="44" t="n">
        <v>73</v>
      </c>
      <c r="E74" s="44" t="n">
        <v>79</v>
      </c>
      <c r="F74" s="44" t="n">
        <v>78</v>
      </c>
    </row>
    <row r="75">
      <c r="A75" s="2">
        <f> Operating cash flow</f>
        <v/>
      </c>
      <c r="B75" s="22" t="n">
        <v>2939</v>
      </c>
      <c r="C75" s="22" t="n">
        <v>2403</v>
      </c>
      <c r="D75" s="22" t="n">
        <v>2723</v>
      </c>
      <c r="E75" s="22" t="n">
        <v>2684</v>
      </c>
      <c r="F75" s="22" t="n">
        <v>2655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4" t="n">
        <v>-187</v>
      </c>
      <c r="D78" s="34" t="n">
        <v>-172</v>
      </c>
      <c r="E78" s="34" t="n">
        <v>-156</v>
      </c>
      <c r="F78" s="34" t="n">
        <v>-140</v>
      </c>
    </row>
    <row r="79">
      <c r="A79" t="inlineStr">
        <is>
          <t>− Acquisitions</t>
        </is>
      </c>
      <c r="B79" s="20" t="n"/>
      <c r="C79" s="34" t="n">
        <v>0</v>
      </c>
      <c r="D79" s="34" t="n">
        <v>0</v>
      </c>
      <c r="E79" s="34" t="n">
        <v>0</v>
      </c>
      <c r="F79" s="34" t="n">
        <v>0</v>
      </c>
    </row>
    <row r="80">
      <c r="A80" t="inlineStr">
        <is>
          <t>± Net marketable securities</t>
        </is>
      </c>
      <c r="B80" s="20" t="n"/>
      <c r="C80" s="34" t="n">
        <v>0</v>
      </c>
      <c r="D80" s="34" t="n">
        <v>0</v>
      </c>
      <c r="E80" s="34" t="n">
        <v>0</v>
      </c>
      <c r="F80" s="34" t="n">
        <v>0</v>
      </c>
    </row>
    <row r="81">
      <c r="A81" s="2">
        <f> Investing cash flow</f>
        <v/>
      </c>
      <c r="B81" s="22" t="n">
        <v>-162</v>
      </c>
      <c r="C81" s="22" t="n">
        <v>-187</v>
      </c>
      <c r="D81" s="22" t="n">
        <v>-172</v>
      </c>
      <c r="E81" s="22" t="n">
        <v>-156</v>
      </c>
      <c r="F81" s="22" t="n">
        <v>-140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4" t="n">
        <v>-867</v>
      </c>
      <c r="D84" s="34" t="n">
        <v>-1063</v>
      </c>
      <c r="E84" s="34" t="n">
        <v>-1040</v>
      </c>
      <c r="F84" s="34" t="n">
        <v>-871</v>
      </c>
    </row>
    <row r="85">
      <c r="A85" t="inlineStr">
        <is>
          <t>− Dividends</t>
        </is>
      </c>
      <c r="B85" s="20" t="n"/>
      <c r="C85" s="34" t="n">
        <v>-0</v>
      </c>
      <c r="D85" s="34" t="n">
        <v>-361</v>
      </c>
      <c r="E85" s="34" t="n">
        <v>-507</v>
      </c>
      <c r="F85" s="34" t="n">
        <v>-505</v>
      </c>
    </row>
    <row r="86">
      <c r="A86" t="inlineStr">
        <is>
          <t>± Net debt</t>
        </is>
      </c>
      <c r="B86" s="20" t="n"/>
      <c r="C86" s="34" t="n">
        <v>0</v>
      </c>
      <c r="D86" s="34" t="n">
        <v>0</v>
      </c>
      <c r="E86" s="34" t="n">
        <v>0</v>
      </c>
      <c r="F86" s="34" t="n">
        <v>0</v>
      </c>
    </row>
    <row r="87">
      <c r="A87" s="2">
        <f> Financing cash flow</f>
        <v/>
      </c>
      <c r="B87" s="22" t="n"/>
      <c r="C87" s="22" t="n">
        <v>-867</v>
      </c>
      <c r="D87" s="22" t="n">
        <v>-1424</v>
      </c>
      <c r="E87" s="22" t="n">
        <v>-1547</v>
      </c>
      <c r="F87" s="22" t="n">
        <v>-1376</v>
      </c>
    </row>
    <row r="89">
      <c r="A89" s="2" t="inlineStr">
        <is>
          <t>Net change in cash</t>
        </is>
      </c>
      <c r="B89" s="20" t="n"/>
      <c r="C89" s="34" t="n">
        <v>1349</v>
      </c>
      <c r="D89" s="34" t="n">
        <v>1127</v>
      </c>
      <c r="E89" s="34" t="n">
        <v>981</v>
      </c>
      <c r="F89" s="34" t="n">
        <v>1139</v>
      </c>
    </row>
    <row r="90">
      <c r="A90" s="2" t="inlineStr">
        <is>
          <t>Beginning cash (FY26 = $1,501M)</t>
        </is>
      </c>
      <c r="B90" s="20" t="n">
        <v>1501</v>
      </c>
      <c r="C90" s="34" t="n">
        <v>1501</v>
      </c>
      <c r="D90" s="34" t="n">
        <v>2850</v>
      </c>
      <c r="E90" s="34" t="n">
        <v>3977</v>
      </c>
      <c r="F90" s="34" t="n">
        <v>4958</v>
      </c>
    </row>
    <row r="91">
      <c r="A91" s="2" t="inlineStr">
        <is>
          <t>Ending cash (= BS cash)</t>
        </is>
      </c>
      <c r="B91" s="22" t="n">
        <v>1501</v>
      </c>
      <c r="C91" s="22" t="n">
        <v>2850</v>
      </c>
      <c r="D91" s="22" t="n">
        <v>3977</v>
      </c>
      <c r="E91" s="22" t="n">
        <v>4958</v>
      </c>
      <c r="F91" s="22" t="n">
        <v>6097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2026-05-20T21:38:25Z</dcterms:created>
  <dcterms:modified xmlns:dcterms="http://purl.org/dc/terms/" xmlns:xsi="http://www.w3.org/2001/XMLSchema-instance" xsi:type="dcterms:W3CDTF">2026-05-20T21:38:25Z</dcterms:modified>
</cp:coreProperties>
</file>