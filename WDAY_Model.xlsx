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Forecast_AI" sheetId="4" state="visible" r:id="rId4"/>
    <sheet xmlns:r="http://schemas.openxmlformats.org/officeDocument/2006/relationships" name="Forecast_Cash" sheetId="5" state="visible" r:id="rId5"/>
    <sheet xmlns:r="http://schemas.openxmlformats.org/officeDocument/2006/relationships" name="Forecast_Bear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_SBC" sheetId="11" state="visible" r:id="rId11"/>
    <sheet xmlns:r="http://schemas.openxmlformats.org/officeDocument/2006/relationships" name="Sens_Growth" sheetId="12" state="visible" r:id="rId12"/>
    <sheet xmlns:r="http://schemas.openxmlformats.org/officeDocument/2006/relationships" name="Sens_Pricing" sheetId="13" state="visible" r:id="rId13"/>
    <sheet xmlns:r="http://schemas.openxmlformats.org/officeDocument/2006/relationships" name="Revenue_Build" sheetId="14" state="visible" r:id="rId14"/>
    <sheet xmlns:r="http://schemas.openxmlformats.org/officeDocument/2006/relationships" name="AI_Deferred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$#,##0.00"/>
    <numFmt numFmtId="165" formatCode="0.0%"/>
    <numFmt numFmtId="166" formatCode="0.0&quot;x&quot;"/>
    <numFmt numFmtId="167" formatCode="0&quot;x&quot;"/>
    <numFmt numFmtId="168" formatCode="#,##0;(#,##0)"/>
    <numFmt numFmtId="169" formatCode="#,##0.0"/>
    <numFmt numFmtId="170" formatCode="&quot;$&quot;#,##0.00"/>
    <numFmt numFmtId="171" formatCode="&quot;$&quot;#,##0"/>
    <numFmt numFmtId="172" formatCode="+#,##0;-#,##0"/>
  </numFmts>
  <fonts count="5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70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4" fillId="4" borderId="0" pivotButton="0" quotePrefix="0" xfId="0"/>
    <xf numFmtId="168" fontId="0" fillId="4" borderId="0" pivotButton="0" quotePrefix="0" xfId="0"/>
    <xf numFmtId="3" fontId="0" fillId="0" borderId="0" pivotButton="0" quotePrefix="0" xfId="0"/>
    <xf numFmtId="3" fontId="0" fillId="4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1" fontId="0" fillId="4" borderId="0" pivotButton="0" quotePrefix="0" xfId="0"/>
    <xf numFmtId="165" fontId="0" fillId="4" borderId="0" pivotButton="0" quotePrefix="0" xfId="0"/>
    <xf numFmtId="0" fontId="3" fillId="2" borderId="0" applyAlignment="1" pivotButton="0" quotePrefix="0" xfId="0">
      <alignment horizontal="center"/>
    </xf>
    <xf numFmtId="171" fontId="0" fillId="5" borderId="0" pivotButton="0" quotePrefix="0" xfId="0"/>
    <xf numFmtId="171" fontId="0" fillId="6" borderId="0" pivotButton="0" quotePrefix="0" xfId="0"/>
    <xf numFmtId="171" fontId="0" fillId="7" borderId="0" pivotButton="0" quotePrefix="0" xfId="0"/>
    <xf numFmtId="171" fontId="0" fillId="8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6" customWidth="1" min="3" max="3"/>
    <col width="10" customWidth="1" min="4" max="4"/>
    <col width="10" customWidth="1" min="5" max="5"/>
    <col width="70" customWidth="1" min="6" max="6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+115.4%</t>
        </is>
      </c>
    </row>
    <row r="18">
      <c r="A18" s="2" t="inlineStr">
        <is>
          <t>Prob-weighted FY30 TSR (4yr)</t>
        </is>
      </c>
      <c r="B18" t="inlineStr">
        <is>
          <t>+152.9%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FY29 terminal $</t>
        </is>
      </c>
      <c r="D21" s="4" t="inlineStr">
        <is>
          <t>TSR %</t>
        </is>
      </c>
      <c r="E21" s="4" t="inlineStr">
        <is>
          <t>IRR %</t>
        </is>
      </c>
      <c r="F21" s="4" t="inlineStr">
        <is>
          <t>Headline math</t>
        </is>
      </c>
    </row>
    <row r="22">
      <c r="A22" t="inlineStr">
        <is>
          <t>Good AI</t>
        </is>
      </c>
      <c r="B22" s="5" t="n">
        <v>0.35</v>
      </c>
      <c r="C22" s="6" t="n">
        <v>592.42</v>
      </c>
      <c r="D22" s="7" t="n">
        <v>3.58</v>
      </c>
      <c r="E22" s="7" t="n">
        <v>0.6609999999999999</v>
      </c>
      <c r="F22" t="inlineStr">
        <is>
          <t>28x FCF on $21.39 FY29 FCF/share growing 20% = $592 + $22 cum cap return = TSR +358%</t>
        </is>
      </c>
    </row>
    <row r="23">
      <c r="A23" t="inlineStr">
        <is>
          <t>Runs For Cash</t>
        </is>
      </c>
      <c r="B23" s="5" t="n">
        <v>0.35</v>
      </c>
      <c r="C23" s="6" t="n">
        <v>125.57</v>
      </c>
      <c r="D23" s="7" t="n">
        <v>0.063</v>
      </c>
      <c r="E23" s="7" t="n">
        <v>0.021</v>
      </c>
      <c r="F23" t="inlineStr">
        <is>
          <t>9x FCF on $13.84 FY29 FCF/share growing -8% = $126 + $38 cum cap return = TSR +6%</t>
        </is>
      </c>
    </row>
    <row r="24">
      <c r="A24" t="inlineStr">
        <is>
          <t>What Goes Wrong</t>
        </is>
      </c>
      <c r="B24" s="5" t="n">
        <v>0.3</v>
      </c>
      <c r="C24" s="6" t="n">
        <v>73.65000000000001</v>
      </c>
      <c r="D24" s="7" t="n">
        <v>-0.405</v>
      </c>
      <c r="E24" s="7" t="n">
        <v>-0.159</v>
      </c>
      <c r="F24" t="inlineStr">
        <is>
          <t>7x FCF on $8.03 FY29 FCF/share growing -10% = $74 + $15 cum cap return = TSR -40%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8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8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7" t="n">
        <v>0.1308</v>
      </c>
      <c r="D11" s="7" t="n">
        <v>0.1815</v>
      </c>
      <c r="E11" s="7" t="n">
        <v>0.2016</v>
      </c>
      <c r="F11" s="7" t="n">
        <v>0.1726</v>
      </c>
    </row>
    <row r="12">
      <c r="A12" t="inlineStr">
        <is>
          <t>Revenue growth %</t>
        </is>
      </c>
      <c r="B12" t="inlineStr">
        <is>
          <t>Run For Cash</t>
        </is>
      </c>
      <c r="C12" s="7" t="n">
        <v>0.0436</v>
      </c>
      <c r="D12" s="7" t="n">
        <v>-0.0281</v>
      </c>
      <c r="E12" s="7" t="n">
        <v>-0.08500000000000001</v>
      </c>
      <c r="F12" s="7" t="n">
        <v>-0.0961</v>
      </c>
    </row>
    <row r="13">
      <c r="A13" t="inlineStr">
        <is>
          <t>Revenue growth %</t>
        </is>
      </c>
      <c r="B13" t="inlineStr">
        <is>
          <t>Bear</t>
        </is>
      </c>
      <c r="C13" s="7" t="n">
        <v>-0.0509</v>
      </c>
      <c r="D13" s="7" t="n">
        <v>-0.0877</v>
      </c>
      <c r="E13" s="7" t="n">
        <v>-0.0964</v>
      </c>
      <c r="F13" s="7" t="n">
        <v>-0.0963</v>
      </c>
    </row>
    <row r="15">
      <c r="A15" t="inlineStr">
        <is>
          <t>Backlog growth %</t>
        </is>
      </c>
      <c r="B15" t="inlineStr">
        <is>
          <t>AI Winner</t>
        </is>
      </c>
      <c r="C15" s="7" t="n">
        <v>0.16</v>
      </c>
      <c r="D15" s="7" t="n">
        <v>0.1801</v>
      </c>
      <c r="E15" s="7" t="n">
        <v>0.19</v>
      </c>
      <c r="F15" s="7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7" t="n">
        <v>-0.04</v>
      </c>
      <c r="D16" s="7" t="n">
        <v>-0.09</v>
      </c>
      <c r="E16" s="7" t="n">
        <v>-0.1</v>
      </c>
      <c r="F16" s="7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7" t="n">
        <v>-0.05</v>
      </c>
      <c r="D17" s="7" t="n">
        <v>-0.1</v>
      </c>
      <c r="E17" s="7" t="n">
        <v>-0.11</v>
      </c>
      <c r="F17" s="7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7" t="n">
        <v>0.251</v>
      </c>
      <c r="D19" s="7" t="n">
        <v>0.2418</v>
      </c>
      <c r="E19" s="7" t="n">
        <v>0.234</v>
      </c>
      <c r="F19" s="7" t="n">
        <v>0.2234</v>
      </c>
    </row>
    <row r="20">
      <c r="A20" t="inlineStr">
        <is>
          <t>Cost of rev (% rev)</t>
        </is>
      </c>
      <c r="B20" t="inlineStr">
        <is>
          <t>Run For Cash</t>
        </is>
      </c>
      <c r="C20" s="7" t="n">
        <v>0.2536</v>
      </c>
      <c r="D20" s="7" t="n">
        <v>0.2448</v>
      </c>
      <c r="E20" s="7" t="n">
        <v>0.2409</v>
      </c>
      <c r="F20" s="7" t="n">
        <v>0.2341</v>
      </c>
    </row>
    <row r="21">
      <c r="A21" t="inlineStr">
        <is>
          <t>Cost of rev (% rev)</t>
        </is>
      </c>
      <c r="B21" t="inlineStr">
        <is>
          <t>Bear</t>
        </is>
      </c>
      <c r="C21" s="7" t="n">
        <v>0.2584</v>
      </c>
      <c r="D21" s="7" t="n">
        <v>0.2604</v>
      </c>
      <c r="E21" s="7" t="n">
        <v>0.2615</v>
      </c>
      <c r="F21" s="7" t="n">
        <v>0.2591</v>
      </c>
    </row>
    <row r="23">
      <c r="A23" t="inlineStr">
        <is>
          <t>R&amp;D (% rev)</t>
        </is>
      </c>
      <c r="B23" t="inlineStr">
        <is>
          <t>AI Winner</t>
        </is>
      </c>
      <c r="C23" s="7" t="n">
        <v>0.26</v>
      </c>
      <c r="D23" s="7" t="n">
        <v>0.25</v>
      </c>
      <c r="E23" s="7" t="n">
        <v>0.24</v>
      </c>
      <c r="F23" s="7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7" t="n">
        <v>0.24</v>
      </c>
      <c r="D24" s="7" t="n">
        <v>0.2</v>
      </c>
      <c r="E24" s="7" t="n">
        <v>0.16</v>
      </c>
      <c r="F24" s="7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7" t="n">
        <v>0.26</v>
      </c>
      <c r="D25" s="7" t="n">
        <v>0.23</v>
      </c>
      <c r="E25" s="7" t="n">
        <v>0.2</v>
      </c>
      <c r="F25" s="7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7" t="n">
        <v>0.25</v>
      </c>
      <c r="D27" s="7" t="n">
        <v>0.23</v>
      </c>
      <c r="E27" s="7" t="n">
        <v>0.21</v>
      </c>
      <c r="F27" s="7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7" t="n">
        <v>0.22</v>
      </c>
      <c r="D28" s="7" t="n">
        <v>0.17</v>
      </c>
      <c r="E28" s="7" t="n">
        <v>0.1299</v>
      </c>
      <c r="F28" s="7" t="n">
        <v>0.1</v>
      </c>
    </row>
    <row r="29">
      <c r="A29" t="inlineStr">
        <is>
          <t>S&amp;M (% rev)</t>
        </is>
      </c>
      <c r="B29" t="inlineStr">
        <is>
          <t>Bear</t>
        </is>
      </c>
      <c r="C29" s="7" t="n">
        <v>0.24</v>
      </c>
      <c r="D29" s="7" t="n">
        <v>0.21</v>
      </c>
      <c r="E29" s="7" t="n">
        <v>0.18</v>
      </c>
      <c r="F29" s="7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7" t="n">
        <v>0.09</v>
      </c>
      <c r="D31" s="7" t="n">
        <v>0.08500000000000001</v>
      </c>
      <c r="E31" s="7" t="n">
        <v>0.08</v>
      </c>
      <c r="F31" s="7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7" t="n">
        <v>0.08</v>
      </c>
      <c r="D32" s="7" t="n">
        <v>0.07000000000000001</v>
      </c>
      <c r="E32" s="7" t="n">
        <v>0.06</v>
      </c>
      <c r="F32" s="7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7" t="n">
        <v>0.09</v>
      </c>
      <c r="D33" s="7" t="n">
        <v>0.08</v>
      </c>
      <c r="E33" s="7" t="n">
        <v>0.0751</v>
      </c>
      <c r="F33" s="7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7" t="n">
        <v>0.15</v>
      </c>
      <c r="D35" s="7" t="n">
        <v>0.13</v>
      </c>
      <c r="E35" s="7" t="n">
        <v>0.12</v>
      </c>
      <c r="F35" s="7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7" t="n">
        <v>0.13</v>
      </c>
      <c r="D36" s="7" t="n">
        <v>0.09</v>
      </c>
      <c r="E36" s="7" t="n">
        <v>0.06</v>
      </c>
      <c r="F36" s="7" t="n">
        <v>0.0401</v>
      </c>
    </row>
    <row r="37">
      <c r="A37" t="inlineStr">
        <is>
          <t>SBC (% rev)</t>
        </is>
      </c>
      <c r="B37" t="inlineStr">
        <is>
          <t>Bear</t>
        </is>
      </c>
      <c r="C37" s="7" t="n">
        <v>0.15</v>
      </c>
      <c r="D37" s="7" t="n">
        <v>0.13</v>
      </c>
      <c r="E37" s="7" t="n">
        <v>0.11</v>
      </c>
      <c r="F37" s="7" t="n">
        <v>0.0999</v>
      </c>
    </row>
    <row r="39">
      <c r="A39" t="inlineStr">
        <is>
          <t>CFO margin</t>
        </is>
      </c>
      <c r="B39" t="inlineStr">
        <is>
          <t>AI Winner</t>
        </is>
      </c>
      <c r="C39" s="7" t="n">
        <v>0.33</v>
      </c>
      <c r="D39" s="7" t="n">
        <v>0.35</v>
      </c>
      <c r="E39" s="7" t="n">
        <v>0.37</v>
      </c>
      <c r="F39" s="7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7" t="n">
        <v>0.33</v>
      </c>
      <c r="D40" s="7" t="n">
        <v>0.36</v>
      </c>
      <c r="E40" s="7" t="n">
        <v>0.36</v>
      </c>
      <c r="F40" s="7" t="n">
        <v>0.3399</v>
      </c>
    </row>
    <row r="41">
      <c r="A41" t="inlineStr">
        <is>
          <t>CFO margin</t>
        </is>
      </c>
      <c r="B41" t="inlineStr">
        <is>
          <t>Bear</t>
        </is>
      </c>
      <c r="C41" s="7" t="n">
        <v>0.3</v>
      </c>
      <c r="D41" s="7" t="n">
        <v>0.3</v>
      </c>
      <c r="E41" s="7" t="n">
        <v>0.28</v>
      </c>
      <c r="F41" s="7" t="n">
        <v>0.26</v>
      </c>
    </row>
    <row r="43">
      <c r="A43" t="inlineStr">
        <is>
          <t>Buyback (%/yr)</t>
        </is>
      </c>
      <c r="B43" t="inlineStr">
        <is>
          <t>AI Winner</t>
        </is>
      </c>
      <c r="C43" s="7" t="n">
        <v>0.0201</v>
      </c>
      <c r="D43" s="7" t="n">
        <v>0.0198</v>
      </c>
      <c r="E43" s="7" t="n">
        <v>0.0249</v>
      </c>
      <c r="F43" s="7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7" t="n">
        <v>0.0399</v>
      </c>
      <c r="D44" s="7" t="n">
        <v>0.07000000000000001</v>
      </c>
      <c r="E44" s="7" t="n">
        <v>0.09030000000000001</v>
      </c>
      <c r="F44" s="7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7" t="n">
        <v>0.025</v>
      </c>
      <c r="D45" s="7" t="n">
        <v>0.0348</v>
      </c>
      <c r="E45" s="7" t="n">
        <v>0.04</v>
      </c>
      <c r="F45" s="7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9" t="n">
        <v>10</v>
      </c>
    </row>
    <row r="48">
      <c r="B48" t="inlineStr">
        <is>
          <t>Run For Cash</t>
        </is>
      </c>
      <c r="C48" s="9" t="n">
        <v>3.5</v>
      </c>
    </row>
    <row r="49">
      <c r="B49" t="inlineStr">
        <is>
          <t>Bear</t>
        </is>
      </c>
      <c r="C49" s="9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0" t="n">
        <v>28</v>
      </c>
    </row>
    <row r="51">
      <c r="B51" t="inlineStr">
        <is>
          <t>Run For Cash</t>
        </is>
      </c>
      <c r="C51" s="10" t="n">
        <v>9</v>
      </c>
    </row>
    <row r="52">
      <c r="B52" t="inlineStr">
        <is>
          <t>Bear</t>
        </is>
      </c>
      <c r="C52" s="10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1" t="n"/>
      <c r="C4" s="11" t="n"/>
      <c r="D4" s="11" t="n"/>
      <c r="E4" s="11" t="n"/>
      <c r="F4" s="11" t="n"/>
      <c r="G4" s="11" t="n"/>
      <c r="H4" s="11" t="n"/>
    </row>
    <row r="5">
      <c r="A5" s="12" t="inlineStr">
        <is>
          <t>Revenue</t>
        </is>
      </c>
      <c r="B5" s="13" t="n">
        <v>4318</v>
      </c>
      <c r="C5" s="13" t="n">
        <v>5139</v>
      </c>
      <c r="D5" s="13" t="n">
        <v>6216</v>
      </c>
      <c r="E5" s="13" t="n">
        <v>7259</v>
      </c>
      <c r="F5" s="13" t="n">
        <v>8446</v>
      </c>
      <c r="G5" s="13" t="n">
        <v>9552</v>
      </c>
    </row>
    <row r="6">
      <c r="A6" s="12" t="inlineStr">
        <is>
          <t>Cost of revenue</t>
        </is>
      </c>
      <c r="B6" s="13" t="n">
        <v>1198.1</v>
      </c>
      <c r="C6" s="13" t="n">
        <v>1428</v>
      </c>
      <c r="D6" s="13" t="n">
        <v>1750</v>
      </c>
      <c r="E6" s="13" t="n">
        <v>1771</v>
      </c>
      <c r="F6" s="13" t="n">
        <v>2153</v>
      </c>
      <c r="G6" s="13" t="n">
        <v>2624</v>
      </c>
    </row>
    <row r="7">
      <c r="A7" s="14" t="inlineStr">
        <is>
          <t>Gross profit</t>
        </is>
      </c>
      <c r="B7" s="15" t="n">
        <v>3119.9</v>
      </c>
      <c r="C7" s="15" t="n">
        <v>3711</v>
      </c>
      <c r="D7" s="15" t="n">
        <v>4466</v>
      </c>
      <c r="E7" s="15" t="n">
        <v>5488</v>
      </c>
      <c r="F7" s="15" t="n">
        <v>6293</v>
      </c>
      <c r="G7" s="15" t="n">
        <v>6928</v>
      </c>
    </row>
    <row r="8">
      <c r="A8" s="12" t="inlineStr">
        <is>
          <t>R&amp;D</t>
        </is>
      </c>
      <c r="B8" s="13" t="n">
        <v>1721.2</v>
      </c>
      <c r="C8" s="13" t="n">
        <v>1879</v>
      </c>
      <c r="D8" s="13" t="n">
        <v>2247</v>
      </c>
      <c r="E8" s="13" t="n">
        <v>2464</v>
      </c>
      <c r="F8" s="13" t="n">
        <v>2626</v>
      </c>
      <c r="G8" s="13" t="n">
        <v>2679</v>
      </c>
    </row>
    <row r="9">
      <c r="A9" s="12" t="inlineStr">
        <is>
          <t>S&amp;M</t>
        </is>
      </c>
      <c r="B9" s="13" t="n">
        <v>1233.2</v>
      </c>
      <c r="C9" s="13" t="n">
        <v>1462</v>
      </c>
      <c r="D9" s="13" t="n">
        <v>1842</v>
      </c>
      <c r="E9" s="13" t="n">
        <v>2139</v>
      </c>
      <c r="F9" s="13" t="n">
        <v>2432</v>
      </c>
      <c r="G9" s="13" t="n">
        <v>2616</v>
      </c>
    </row>
    <row r="10">
      <c r="A10" s="12" t="inlineStr">
        <is>
          <t>G&amp;A</t>
        </is>
      </c>
      <c r="B10" s="13" t="n">
        <v>414.1</v>
      </c>
      <c r="C10" s="13" t="n">
        <v>486</v>
      </c>
      <c r="D10" s="13" t="n">
        <v>599</v>
      </c>
      <c r="E10" s="13" t="n">
        <v>702</v>
      </c>
      <c r="F10" s="13" t="n">
        <v>820</v>
      </c>
      <c r="G10" s="13" t="n">
        <v>912</v>
      </c>
    </row>
    <row r="11">
      <c r="A11" s="14" t="inlineStr">
        <is>
          <t>Operating income</t>
        </is>
      </c>
      <c r="B11" s="15" t="n">
        <v>-248.6</v>
      </c>
      <c r="C11" s="15" t="n">
        <v>-116</v>
      </c>
      <c r="D11" s="15" t="n">
        <v>-222</v>
      </c>
      <c r="E11" s="15" t="n">
        <v>183</v>
      </c>
      <c r="F11" s="15" t="n">
        <v>415</v>
      </c>
      <c r="G11" s="15" t="n">
        <v>721</v>
      </c>
    </row>
    <row r="12">
      <c r="A12" s="12" t="inlineStr">
        <is>
          <t>Net income (GAAP)</t>
        </is>
      </c>
      <c r="B12" s="13" t="n">
        <v>-282.4</v>
      </c>
      <c r="C12" s="13" t="n">
        <v>29</v>
      </c>
      <c r="D12" s="13" t="n">
        <v>-367</v>
      </c>
      <c r="E12" s="13" t="n">
        <v>1381</v>
      </c>
      <c r="F12" s="13" t="n">
        <v>526</v>
      </c>
      <c r="G12" s="13" t="n">
        <v>693</v>
      </c>
    </row>
    <row r="14">
      <c r="A14" s="3" t="inlineStr">
        <is>
          <t>Cash Flow</t>
        </is>
      </c>
      <c r="B14" s="11" t="n"/>
      <c r="C14" s="11" t="n"/>
      <c r="D14" s="11" t="n"/>
      <c r="E14" s="11" t="n"/>
      <c r="F14" s="11" t="n"/>
      <c r="G14" s="11" t="n"/>
      <c r="H14" s="11" t="n"/>
    </row>
    <row r="15">
      <c r="A15" s="12" t="inlineStr">
        <is>
          <t>Cash from operations</t>
        </is>
      </c>
      <c r="B15" s="13" t="n">
        <v>1268.4</v>
      </c>
      <c r="C15" s="13" t="n">
        <v>1651</v>
      </c>
      <c r="D15" s="13" t="n">
        <v>1657</v>
      </c>
      <c r="E15" s="13" t="n">
        <v>2149</v>
      </c>
      <c r="F15" s="13" t="n">
        <v>2461</v>
      </c>
      <c r="G15" s="13" t="n">
        <v>2939</v>
      </c>
    </row>
    <row r="16">
      <c r="A16" s="12" t="inlineStr">
        <is>
          <t>Capex</t>
        </is>
      </c>
      <c r="B16" s="13" t="n"/>
      <c r="C16" s="13" t="n"/>
      <c r="D16" s="13" t="n">
        <v>364</v>
      </c>
      <c r="E16" s="13" t="n">
        <v>232</v>
      </c>
      <c r="F16" s="13" t="n">
        <v>269</v>
      </c>
      <c r="G16" s="13" t="n">
        <v>162</v>
      </c>
    </row>
    <row r="17">
      <c r="A17" s="14" t="inlineStr">
        <is>
          <t>Free cash flow</t>
        </is>
      </c>
      <c r="B17" s="15" t="n">
        <v>1268.4</v>
      </c>
      <c r="C17" s="15" t="n">
        <v>1651</v>
      </c>
      <c r="D17" s="15" t="n">
        <v>1293</v>
      </c>
      <c r="E17" s="15" t="n">
        <v>1917</v>
      </c>
      <c r="F17" s="15" t="n">
        <v>2192</v>
      </c>
      <c r="G17" s="15" t="n">
        <v>2777</v>
      </c>
    </row>
    <row r="18">
      <c r="A18" s="12" t="inlineStr">
        <is>
          <t>SBC (memo)</t>
        </is>
      </c>
      <c r="B18" s="13" t="n">
        <v>1004.9</v>
      </c>
      <c r="C18" s="13" t="n">
        <v>1101</v>
      </c>
      <c r="D18" s="13" t="n">
        <v>1295</v>
      </c>
      <c r="E18" s="13" t="n">
        <v>1416</v>
      </c>
      <c r="F18" s="13" t="n">
        <v>1519</v>
      </c>
      <c r="G18" s="13" t="n">
        <v>1626</v>
      </c>
    </row>
    <row r="19">
      <c r="A19" s="14" t="inlineStr">
        <is>
          <t>FCF − SBC</t>
        </is>
      </c>
      <c r="B19" s="15" t="n">
        <v>263.5</v>
      </c>
      <c r="C19" s="15" t="n">
        <v>550</v>
      </c>
      <c r="D19" s="15" t="n">
        <v>-2</v>
      </c>
      <c r="E19" s="15" t="n">
        <v>501</v>
      </c>
      <c r="F19" s="15" t="n">
        <v>673</v>
      </c>
      <c r="G19" s="15" t="n">
        <v>1151</v>
      </c>
    </row>
    <row r="20">
      <c r="A20" s="12" t="inlineStr">
        <is>
          <t>Diluted shares (M)</t>
        </is>
      </c>
      <c r="B20" s="16" t="n">
        <v>237</v>
      </c>
      <c r="C20" s="16" t="n">
        <v>254</v>
      </c>
      <c r="D20" s="16" t="n">
        <v>254.8</v>
      </c>
      <c r="E20" s="16" t="n">
        <v>265.3</v>
      </c>
      <c r="F20" s="16" t="n">
        <v>269.2</v>
      </c>
      <c r="G20" s="16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WDAY forecast — AI Winner</t>
        </is>
      </c>
    </row>
    <row r="3">
      <c r="A3" s="4" t="inlineStr">
        <is>
          <t>$M unless noted</t>
        </is>
      </c>
      <c r="B3" s="4" t="inlineStr">
        <is>
          <t>FY26A</t>
        </is>
      </c>
      <c r="C3" s="4" t="inlineStr">
        <is>
          <t>FY27E</t>
        </is>
      </c>
      <c r="D3" s="4" t="inlineStr">
        <is>
          <t>FY28E</t>
        </is>
      </c>
      <c r="E3" s="4" t="inlineStr">
        <is>
          <t>FY29E</t>
        </is>
      </c>
      <c r="F3" s="4" t="inlineStr">
        <is>
          <t>FY30E</t>
        </is>
      </c>
    </row>
    <row r="4">
      <c r="A4" s="3" t="inlineStr">
        <is>
          <t>Drivers (from Assumptions tab)</t>
        </is>
      </c>
      <c r="B4" s="11" t="n"/>
      <c r="C4" s="11" t="n"/>
      <c r="D4" s="11" t="n"/>
      <c r="E4" s="11" t="n"/>
      <c r="F4" s="11" t="n"/>
    </row>
    <row r="5">
      <c r="A5" t="inlineStr">
        <is>
          <t>Revenue growth %</t>
        </is>
      </c>
      <c r="B5" t="inlineStr">
        <is>
          <t>—</t>
        </is>
      </c>
      <c r="C5" s="7">
        <f>Assumptions!C11</f>
        <v/>
      </c>
      <c r="D5" s="7">
        <f>Assumptions!D11</f>
        <v/>
      </c>
      <c r="E5" s="7">
        <f>Assumptions!E11</f>
        <v/>
      </c>
      <c r="F5" s="7">
        <f>Assumptions!F11</f>
        <v/>
      </c>
    </row>
    <row r="6">
      <c r="A6" t="inlineStr">
        <is>
          <t>Backlog growth %</t>
        </is>
      </c>
      <c r="B6" t="inlineStr">
        <is>
          <t>—</t>
        </is>
      </c>
      <c r="C6" s="7">
        <f>Assumptions!C15</f>
        <v/>
      </c>
      <c r="D6" s="7">
        <f>Assumptions!D15</f>
        <v/>
      </c>
      <c r="E6" s="7">
        <f>Assumptions!E15</f>
        <v/>
      </c>
      <c r="F6" s="7">
        <f>Assumptions!F15</f>
        <v/>
      </c>
    </row>
    <row r="7">
      <c r="A7" t="inlineStr">
        <is>
          <t>Cost of rev (% rev)</t>
        </is>
      </c>
      <c r="B7" t="inlineStr">
        <is>
          <t>—</t>
        </is>
      </c>
      <c r="C7" s="7">
        <f>Assumptions!C19</f>
        <v/>
      </c>
      <c r="D7" s="7">
        <f>Assumptions!D19</f>
        <v/>
      </c>
      <c r="E7" s="7">
        <f>Assumptions!E19</f>
        <v/>
      </c>
      <c r="F7" s="7">
        <f>Assumptions!F19</f>
        <v/>
      </c>
    </row>
    <row r="8">
      <c r="A8" t="inlineStr">
        <is>
          <t>R&amp;D (% rev)</t>
        </is>
      </c>
      <c r="B8" t="inlineStr">
        <is>
          <t>—</t>
        </is>
      </c>
      <c r="C8" s="7">
        <f>Assumptions!C23</f>
        <v/>
      </c>
      <c r="D8" s="7">
        <f>Assumptions!D23</f>
        <v/>
      </c>
      <c r="E8" s="7">
        <f>Assumptions!E23</f>
        <v/>
      </c>
      <c r="F8" s="7">
        <f>Assumptions!F23</f>
        <v/>
      </c>
    </row>
    <row r="9">
      <c r="A9" t="inlineStr">
        <is>
          <t>S&amp;M (% rev)</t>
        </is>
      </c>
      <c r="B9" t="inlineStr">
        <is>
          <t>—</t>
        </is>
      </c>
      <c r="C9" s="7">
        <f>Assumptions!C27</f>
        <v/>
      </c>
      <c r="D9" s="7">
        <f>Assumptions!D27</f>
        <v/>
      </c>
      <c r="E9" s="7">
        <f>Assumptions!E27</f>
        <v/>
      </c>
      <c r="F9" s="7">
        <f>Assumptions!F27</f>
        <v/>
      </c>
    </row>
    <row r="10">
      <c r="A10" t="inlineStr">
        <is>
          <t>G&amp;A (% rev)</t>
        </is>
      </c>
      <c r="B10" t="inlineStr">
        <is>
          <t>—</t>
        </is>
      </c>
      <c r="C10" s="7">
        <f>Assumptions!C31</f>
        <v/>
      </c>
      <c r="D10" s="7">
        <f>Assumptions!D31</f>
        <v/>
      </c>
      <c r="E10" s="7">
        <f>Assumptions!E31</f>
        <v/>
      </c>
      <c r="F10" s="7">
        <f>Assumptions!F31</f>
        <v/>
      </c>
    </row>
    <row r="11">
      <c r="A11" t="inlineStr">
        <is>
          <t>SBC (% rev)</t>
        </is>
      </c>
      <c r="B11" t="inlineStr">
        <is>
          <t>—</t>
        </is>
      </c>
      <c r="C11" s="7">
        <f>Assumptions!C35</f>
        <v/>
      </c>
      <c r="D11" s="7">
        <f>Assumptions!D35</f>
        <v/>
      </c>
      <c r="E11" s="7">
        <f>Assumptions!E35</f>
        <v/>
      </c>
      <c r="F11" s="7">
        <f>Assumptions!F35</f>
        <v/>
      </c>
    </row>
    <row r="12">
      <c r="A12" t="inlineStr">
        <is>
          <t>CFO margin</t>
        </is>
      </c>
      <c r="B12" t="inlineStr">
        <is>
          <t>—</t>
        </is>
      </c>
      <c r="C12" s="7">
        <f>Assumptions!C39</f>
        <v/>
      </c>
      <c r="D12" s="7">
        <f>Assumptions!D39</f>
        <v/>
      </c>
      <c r="E12" s="7">
        <f>Assumptions!E39</f>
        <v/>
      </c>
      <c r="F12" s="7">
        <f>Assumptions!F39</f>
        <v/>
      </c>
    </row>
    <row r="13">
      <c r="A13" t="inlineStr">
        <is>
          <t>Buyback (%/yr)</t>
        </is>
      </c>
      <c r="B13" t="inlineStr">
        <is>
          <t>—</t>
        </is>
      </c>
      <c r="C13" s="7">
        <f>Assumptions!C43</f>
        <v/>
      </c>
      <c r="D13" s="7">
        <f>Assumptions!D43</f>
        <v/>
      </c>
      <c r="E13" s="7">
        <f>Assumptions!E43</f>
        <v/>
      </c>
      <c r="F13" s="7">
        <f>Assumptions!F43</f>
        <v/>
      </c>
    </row>
    <row r="15">
      <c r="A15" s="3" t="inlineStr">
        <is>
          <t>Income Statement</t>
        </is>
      </c>
      <c r="B15" s="11" t="n"/>
      <c r="C15" s="11" t="n"/>
      <c r="D15" s="11" t="n"/>
      <c r="E15" s="11" t="n"/>
      <c r="F15" s="11" t="n"/>
    </row>
    <row r="16">
      <c r="A16" t="inlineStr">
        <is>
          <t>Revenue</t>
        </is>
      </c>
      <c r="B16" s="16" t="n">
        <v>9552</v>
      </c>
      <c r="C16" s="16">
        <f>B16*(1+Assumptions!C11)</f>
        <v/>
      </c>
      <c r="D16" s="16">
        <f>C16*(1+Assumptions!D11)</f>
        <v/>
      </c>
      <c r="E16" s="16">
        <f>D16*(1+Assumptions!E11)</f>
        <v/>
      </c>
      <c r="F16" s="16">
        <f>E16*(1+Assumptions!F11)</f>
        <v/>
      </c>
    </row>
    <row r="17">
      <c r="A17" t="inlineStr">
        <is>
          <t>Cost of revenue</t>
        </is>
      </c>
      <c r="B17" s="13" t="n">
        <v>2624</v>
      </c>
      <c r="C17" s="13">
        <f>C16*Assumptions!C19</f>
        <v/>
      </c>
      <c r="D17" s="13">
        <f>D16*Assumptions!D19</f>
        <v/>
      </c>
      <c r="E17" s="13">
        <f>E16*Assumptions!E19</f>
        <v/>
      </c>
      <c r="F17" s="13">
        <f>F16*Assumptions!F19</f>
        <v/>
      </c>
    </row>
    <row r="18">
      <c r="A18" s="2" t="inlineStr">
        <is>
          <t>Gross profit</t>
        </is>
      </c>
      <c r="B18" s="17">
        <f>B16-B17</f>
        <v/>
      </c>
      <c r="C18" s="17">
        <f>C16-C17</f>
        <v/>
      </c>
      <c r="D18" s="17">
        <f>D16-D17</f>
        <v/>
      </c>
      <c r="E18" s="17">
        <f>E16-E17</f>
        <v/>
      </c>
      <c r="F18" s="17">
        <f>F16-F17</f>
        <v/>
      </c>
    </row>
    <row r="19">
      <c r="A19" t="inlineStr">
        <is>
          <t>R&amp;D</t>
        </is>
      </c>
      <c r="B19" s="13" t="n">
        <v>2679</v>
      </c>
      <c r="C19" s="13">
        <f>C16*Assumptions!C23</f>
        <v/>
      </c>
      <c r="D19" s="13">
        <f>D16*Assumptions!D23</f>
        <v/>
      </c>
      <c r="E19" s="13">
        <f>E16*Assumptions!E23</f>
        <v/>
      </c>
      <c r="F19" s="13">
        <f>F16*Assumptions!F23</f>
        <v/>
      </c>
    </row>
    <row r="20">
      <c r="A20" t="inlineStr">
        <is>
          <t>S&amp;M</t>
        </is>
      </c>
      <c r="B20" s="13" t="n">
        <v>2616</v>
      </c>
      <c r="C20" s="13">
        <f>C16*Assumptions!C27</f>
        <v/>
      </c>
      <c r="D20" s="13">
        <f>D16*Assumptions!D27</f>
        <v/>
      </c>
      <c r="E20" s="13">
        <f>E16*Assumptions!E27</f>
        <v/>
      </c>
      <c r="F20" s="13">
        <f>F16*Assumptions!F27</f>
        <v/>
      </c>
    </row>
    <row r="21">
      <c r="A21" t="inlineStr">
        <is>
          <t>G&amp;A</t>
        </is>
      </c>
      <c r="B21" s="13" t="n">
        <v>912</v>
      </c>
      <c r="C21" s="13">
        <f>C16*Assumptions!C31</f>
        <v/>
      </c>
      <c r="D21" s="13">
        <f>D16*Assumptions!D31</f>
        <v/>
      </c>
      <c r="E21" s="13">
        <f>E16*Assumptions!E31</f>
        <v/>
      </c>
      <c r="F21" s="13">
        <f>F16*Assumptions!F31</f>
        <v/>
      </c>
    </row>
    <row r="22">
      <c r="A22" s="2" t="inlineStr">
        <is>
          <t>Operating income</t>
        </is>
      </c>
      <c r="B22" s="13" t="n">
        <v>721</v>
      </c>
      <c r="C22" s="15">
        <f>C18-C19-C20-C21-(280)</f>
        <v/>
      </c>
      <c r="D22" s="15">
        <f>D18-D19-D20-D21-(300)</f>
        <v/>
      </c>
      <c r="E22" s="15">
        <f>E18-E19-E20-E21-(320)</f>
        <v/>
      </c>
      <c r="F22" s="15">
        <f>F18-F19-F20-F21-(340)</f>
        <v/>
      </c>
    </row>
    <row r="23">
      <c r="A23" t="inlineStr">
        <is>
          <t>Operating margin %</t>
        </is>
      </c>
      <c r="B23" s="7">
        <f>B22/B16</f>
        <v/>
      </c>
      <c r="C23" s="7">
        <f>C22/C16</f>
        <v/>
      </c>
      <c r="D23" s="7">
        <f>D22/D16</f>
        <v/>
      </c>
      <c r="E23" s="7">
        <f>E22/E16</f>
        <v/>
      </c>
      <c r="F23" s="7">
        <f>F22/F16</f>
        <v/>
      </c>
    </row>
    <row r="25">
      <c r="A25" s="3" t="inlineStr">
        <is>
          <t>Cash Flow</t>
        </is>
      </c>
      <c r="B25" s="11" t="n"/>
      <c r="C25" s="11" t="n"/>
      <c r="D25" s="11" t="n"/>
      <c r="E25" s="11" t="n"/>
      <c r="F25" s="11" t="n"/>
    </row>
    <row r="26">
      <c r="A26" t="inlineStr">
        <is>
          <t>Cash from operations</t>
        </is>
      </c>
      <c r="B26" s="16" t="n">
        <v>2939</v>
      </c>
      <c r="C26" s="16">
        <f>C16*Assumptions!C39</f>
        <v/>
      </c>
      <c r="D26" s="16">
        <f>D16*Assumptions!D39</f>
        <v/>
      </c>
      <c r="E26" s="16">
        <f>E16*Assumptions!E39</f>
        <v/>
      </c>
      <c r="F26" s="16">
        <f>F16*Assumptions!F39</f>
        <v/>
      </c>
    </row>
    <row r="27">
      <c r="A27" t="inlineStr">
        <is>
          <t>Capex (~2% rev)</t>
        </is>
      </c>
      <c r="B27" s="13" t="n">
        <v>162</v>
      </c>
      <c r="C27" s="13">
        <f>C16*0.02</f>
        <v/>
      </c>
      <c r="D27" s="13">
        <f>D16*0.02</f>
        <v/>
      </c>
      <c r="E27" s="13">
        <f>E16*0.02</f>
        <v/>
      </c>
      <c r="F27" s="13">
        <f>F16*0.02</f>
        <v/>
      </c>
    </row>
    <row r="28">
      <c r="A28" s="2" t="inlineStr">
        <is>
          <t>Free cash flow</t>
        </is>
      </c>
      <c r="B28" s="17">
        <f>B26-B27</f>
        <v/>
      </c>
      <c r="C28" s="17">
        <f>C26-C27</f>
        <v/>
      </c>
      <c r="D28" s="17">
        <f>D26-D27</f>
        <v/>
      </c>
      <c r="E28" s="17">
        <f>E26-E27</f>
        <v/>
      </c>
      <c r="F28" s="17">
        <f>F26-F27</f>
        <v/>
      </c>
    </row>
    <row r="29">
      <c r="A29" t="inlineStr">
        <is>
          <t>SBC</t>
        </is>
      </c>
      <c r="B29" s="13" t="n">
        <v>1626</v>
      </c>
      <c r="C29" s="13">
        <f>C16*Assumptions!C35</f>
        <v/>
      </c>
      <c r="D29" s="13">
        <f>D16*Assumptions!D35</f>
        <v/>
      </c>
      <c r="E29" s="13">
        <f>E16*Assumptions!E35</f>
        <v/>
      </c>
      <c r="F29" s="13">
        <f>F16*Assumptions!F35</f>
        <v/>
      </c>
    </row>
    <row r="30">
      <c r="A30" s="2" t="inlineStr">
        <is>
          <t>FCF − SBC</t>
        </is>
      </c>
      <c r="B30" s="15">
        <f>B28-B29</f>
        <v/>
      </c>
      <c r="C30" s="15">
        <f>C28-C29</f>
        <v/>
      </c>
      <c r="D30" s="15">
        <f>D28-D29</f>
        <v/>
      </c>
      <c r="E30" s="15">
        <f>E28-E29</f>
        <v/>
      </c>
      <c r="F30" s="15">
        <f>F28-F29</f>
        <v/>
      </c>
    </row>
    <row r="32">
      <c r="A32" s="3" t="inlineStr">
        <is>
          <t>Per-share</t>
        </is>
      </c>
      <c r="B32" s="11" t="n"/>
      <c r="C32" s="11" t="n"/>
      <c r="D32" s="11" t="n"/>
      <c r="E32" s="11" t="n"/>
      <c r="F32" s="11" t="n"/>
    </row>
    <row r="33">
      <c r="A33" t="inlineStr">
        <is>
          <t>Diluted shares (M)</t>
        </is>
      </c>
      <c r="B33" s="18" t="n">
        <v>268</v>
      </c>
      <c r="C33" s="18">
        <f>B33*(1-Assumptions!C43)</f>
        <v/>
      </c>
      <c r="D33" s="18">
        <f>C33*(1-Assumptions!D43)</f>
        <v/>
      </c>
      <c r="E33" s="18">
        <f>D33*(1-Assumptions!E43)</f>
        <v/>
      </c>
      <c r="F33" s="18">
        <f>E33*(1-Assumptions!F43)</f>
        <v/>
      </c>
    </row>
    <row r="34">
      <c r="A34" t="inlineStr">
        <is>
          <t>FCF / share</t>
        </is>
      </c>
      <c r="B34" s="6">
        <f>B28/B33</f>
        <v/>
      </c>
      <c r="C34" s="6">
        <f>C28/C33</f>
        <v/>
      </c>
      <c r="D34" s="6">
        <f>D28/D33</f>
        <v/>
      </c>
      <c r="E34" s="6">
        <f>E28/E33</f>
        <v/>
      </c>
      <c r="F34" s="6">
        <f>F28/F33</f>
        <v/>
      </c>
    </row>
    <row r="35">
      <c r="A35" t="inlineStr">
        <is>
          <t>12-mo backlog ($M)</t>
        </is>
      </c>
      <c r="B35" s="16" t="n">
        <v>8833</v>
      </c>
      <c r="C35" s="16">
        <f>B35*(1+Assumptions!C15)</f>
        <v/>
      </c>
      <c r="D35" s="16">
        <f>C35*(1+Assumptions!D15)</f>
        <v/>
      </c>
      <c r="E35" s="16">
        <f>D35*(1+Assumptions!E15)</f>
        <v/>
      </c>
      <c r="F35" s="16">
        <f>E35*(1+Assumptions!F15)</f>
        <v/>
      </c>
    </row>
    <row r="37">
      <c r="A37" s="3" t="inlineStr">
        <is>
          <t>Valuation (terminal = FY30)</t>
        </is>
      </c>
      <c r="B37" s="11" t="n"/>
      <c r="C37" s="11" t="n"/>
      <c r="D37" s="11" t="n"/>
      <c r="E37" s="11" t="n"/>
      <c r="F37" s="11" t="n"/>
    </row>
    <row r="38">
      <c r="A38" s="2" t="inlineStr">
        <is>
          <t>Target ($/sh, ARR-lens)</t>
        </is>
      </c>
      <c r="F38" s="19">
        <f>(Assumptions!C47*F35+Assumptions!B7*1000)/F33</f>
        <v/>
      </c>
    </row>
    <row r="39">
      <c r="A39" s="2" t="inlineStr">
        <is>
          <t>Target ($/sh, FCF-lens)</t>
        </is>
      </c>
      <c r="F39" s="19">
        <f>(Assumptions!C50*F28+Assumptions!B7*1000)/F33</f>
        <v/>
      </c>
    </row>
    <row r="40">
      <c r="A40" s="2" t="inlineStr">
        <is>
          <t>Target (blended)</t>
        </is>
      </c>
      <c r="F40" s="20">
        <f>AVERAGE(F38,F39)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WDAY forecast — Run For Cash</t>
        </is>
      </c>
    </row>
    <row r="3">
      <c r="A3" s="4" t="inlineStr">
        <is>
          <t>$M unless noted</t>
        </is>
      </c>
      <c r="B3" s="4" t="inlineStr">
        <is>
          <t>FY26A</t>
        </is>
      </c>
      <c r="C3" s="4" t="inlineStr">
        <is>
          <t>FY27E</t>
        </is>
      </c>
      <c r="D3" s="4" t="inlineStr">
        <is>
          <t>FY28E</t>
        </is>
      </c>
      <c r="E3" s="4" t="inlineStr">
        <is>
          <t>FY29E</t>
        </is>
      </c>
      <c r="F3" s="4" t="inlineStr">
        <is>
          <t>FY30E</t>
        </is>
      </c>
    </row>
    <row r="4">
      <c r="A4" s="3" t="inlineStr">
        <is>
          <t>Drivers (from Assumptions tab)</t>
        </is>
      </c>
      <c r="B4" s="11" t="n"/>
      <c r="C4" s="11" t="n"/>
      <c r="D4" s="11" t="n"/>
      <c r="E4" s="11" t="n"/>
      <c r="F4" s="11" t="n"/>
    </row>
    <row r="5">
      <c r="A5" t="inlineStr">
        <is>
          <t>Revenue growth %</t>
        </is>
      </c>
      <c r="B5" t="inlineStr">
        <is>
          <t>—</t>
        </is>
      </c>
      <c r="C5" s="7">
        <f>Assumptions!C12</f>
        <v/>
      </c>
      <c r="D5" s="7">
        <f>Assumptions!D12</f>
        <v/>
      </c>
      <c r="E5" s="7">
        <f>Assumptions!E12</f>
        <v/>
      </c>
      <c r="F5" s="7">
        <f>Assumptions!F12</f>
        <v/>
      </c>
    </row>
    <row r="6">
      <c r="A6" t="inlineStr">
        <is>
          <t>Backlog growth %</t>
        </is>
      </c>
      <c r="B6" t="inlineStr">
        <is>
          <t>—</t>
        </is>
      </c>
      <c r="C6" s="7">
        <f>Assumptions!C16</f>
        <v/>
      </c>
      <c r="D6" s="7">
        <f>Assumptions!D16</f>
        <v/>
      </c>
      <c r="E6" s="7">
        <f>Assumptions!E16</f>
        <v/>
      </c>
      <c r="F6" s="7">
        <f>Assumptions!F16</f>
        <v/>
      </c>
    </row>
    <row r="7">
      <c r="A7" t="inlineStr">
        <is>
          <t>Cost of rev (% rev)</t>
        </is>
      </c>
      <c r="B7" t="inlineStr">
        <is>
          <t>—</t>
        </is>
      </c>
      <c r="C7" s="7">
        <f>Assumptions!C20</f>
        <v/>
      </c>
      <c r="D7" s="7">
        <f>Assumptions!D20</f>
        <v/>
      </c>
      <c r="E7" s="7">
        <f>Assumptions!E20</f>
        <v/>
      </c>
      <c r="F7" s="7">
        <f>Assumptions!F20</f>
        <v/>
      </c>
    </row>
    <row r="8">
      <c r="A8" t="inlineStr">
        <is>
          <t>R&amp;D (% rev)</t>
        </is>
      </c>
      <c r="B8" t="inlineStr">
        <is>
          <t>—</t>
        </is>
      </c>
      <c r="C8" s="7">
        <f>Assumptions!C24</f>
        <v/>
      </c>
      <c r="D8" s="7">
        <f>Assumptions!D24</f>
        <v/>
      </c>
      <c r="E8" s="7">
        <f>Assumptions!E24</f>
        <v/>
      </c>
      <c r="F8" s="7">
        <f>Assumptions!F24</f>
        <v/>
      </c>
    </row>
    <row r="9">
      <c r="A9" t="inlineStr">
        <is>
          <t>S&amp;M (% rev)</t>
        </is>
      </c>
      <c r="B9" t="inlineStr">
        <is>
          <t>—</t>
        </is>
      </c>
      <c r="C9" s="7">
        <f>Assumptions!C28</f>
        <v/>
      </c>
      <c r="D9" s="7">
        <f>Assumptions!D28</f>
        <v/>
      </c>
      <c r="E9" s="7">
        <f>Assumptions!E28</f>
        <v/>
      </c>
      <c r="F9" s="7">
        <f>Assumptions!F28</f>
        <v/>
      </c>
    </row>
    <row r="10">
      <c r="A10" t="inlineStr">
        <is>
          <t>G&amp;A (% rev)</t>
        </is>
      </c>
      <c r="B10" t="inlineStr">
        <is>
          <t>—</t>
        </is>
      </c>
      <c r="C10" s="7">
        <f>Assumptions!C32</f>
        <v/>
      </c>
      <c r="D10" s="7">
        <f>Assumptions!D32</f>
        <v/>
      </c>
      <c r="E10" s="7">
        <f>Assumptions!E32</f>
        <v/>
      </c>
      <c r="F10" s="7">
        <f>Assumptions!F32</f>
        <v/>
      </c>
    </row>
    <row r="11">
      <c r="A11" t="inlineStr">
        <is>
          <t>SBC (% rev)</t>
        </is>
      </c>
      <c r="B11" t="inlineStr">
        <is>
          <t>—</t>
        </is>
      </c>
      <c r="C11" s="7">
        <f>Assumptions!C36</f>
        <v/>
      </c>
      <c r="D11" s="7">
        <f>Assumptions!D36</f>
        <v/>
      </c>
      <c r="E11" s="7">
        <f>Assumptions!E36</f>
        <v/>
      </c>
      <c r="F11" s="7">
        <f>Assumptions!F36</f>
        <v/>
      </c>
    </row>
    <row r="12">
      <c r="A12" t="inlineStr">
        <is>
          <t>CFO margin</t>
        </is>
      </c>
      <c r="B12" t="inlineStr">
        <is>
          <t>—</t>
        </is>
      </c>
      <c r="C12" s="7">
        <f>Assumptions!C40</f>
        <v/>
      </c>
      <c r="D12" s="7">
        <f>Assumptions!D40</f>
        <v/>
      </c>
      <c r="E12" s="7">
        <f>Assumptions!E40</f>
        <v/>
      </c>
      <c r="F12" s="7">
        <f>Assumptions!F40</f>
        <v/>
      </c>
    </row>
    <row r="13">
      <c r="A13" t="inlineStr">
        <is>
          <t>Buyback (%/yr)</t>
        </is>
      </c>
      <c r="B13" t="inlineStr">
        <is>
          <t>—</t>
        </is>
      </c>
      <c r="C13" s="7">
        <f>Assumptions!C44</f>
        <v/>
      </c>
      <c r="D13" s="7">
        <f>Assumptions!D44</f>
        <v/>
      </c>
      <c r="E13" s="7">
        <f>Assumptions!E44</f>
        <v/>
      </c>
      <c r="F13" s="7">
        <f>Assumptions!F44</f>
        <v/>
      </c>
    </row>
    <row r="15">
      <c r="A15" s="3" t="inlineStr">
        <is>
          <t>Income Statement</t>
        </is>
      </c>
      <c r="B15" s="11" t="n"/>
      <c r="C15" s="11" t="n"/>
      <c r="D15" s="11" t="n"/>
      <c r="E15" s="11" t="n"/>
      <c r="F15" s="11" t="n"/>
    </row>
    <row r="16">
      <c r="A16" t="inlineStr">
        <is>
          <t>Revenue</t>
        </is>
      </c>
      <c r="B16" s="16" t="n">
        <v>9552</v>
      </c>
      <c r="C16" s="16">
        <f>B16*(1+Assumptions!C12)</f>
        <v/>
      </c>
      <c r="D16" s="16">
        <f>C16*(1+Assumptions!D12)</f>
        <v/>
      </c>
      <c r="E16" s="16">
        <f>D16*(1+Assumptions!E12)</f>
        <v/>
      </c>
      <c r="F16" s="16">
        <f>E16*(1+Assumptions!F12)</f>
        <v/>
      </c>
    </row>
    <row r="17">
      <c r="A17" t="inlineStr">
        <is>
          <t>Cost of revenue</t>
        </is>
      </c>
      <c r="B17" s="13" t="n">
        <v>2624</v>
      </c>
      <c r="C17" s="13">
        <f>C16*Assumptions!C20</f>
        <v/>
      </c>
      <c r="D17" s="13">
        <f>D16*Assumptions!D20</f>
        <v/>
      </c>
      <c r="E17" s="13">
        <f>E16*Assumptions!E20</f>
        <v/>
      </c>
      <c r="F17" s="13">
        <f>F16*Assumptions!F20</f>
        <v/>
      </c>
    </row>
    <row r="18">
      <c r="A18" s="2" t="inlineStr">
        <is>
          <t>Gross profit</t>
        </is>
      </c>
      <c r="B18" s="17">
        <f>B16-B17</f>
        <v/>
      </c>
      <c r="C18" s="17">
        <f>C16-C17</f>
        <v/>
      </c>
      <c r="D18" s="17">
        <f>D16-D17</f>
        <v/>
      </c>
      <c r="E18" s="17">
        <f>E16-E17</f>
        <v/>
      </c>
      <c r="F18" s="17">
        <f>F16-F17</f>
        <v/>
      </c>
    </row>
    <row r="19">
      <c r="A19" t="inlineStr">
        <is>
          <t>R&amp;D</t>
        </is>
      </c>
      <c r="B19" s="13" t="n">
        <v>2679</v>
      </c>
      <c r="C19" s="13">
        <f>C16*Assumptions!C24</f>
        <v/>
      </c>
      <c r="D19" s="13">
        <f>D16*Assumptions!D24</f>
        <v/>
      </c>
      <c r="E19" s="13">
        <f>E16*Assumptions!E24</f>
        <v/>
      </c>
      <c r="F19" s="13">
        <f>F16*Assumptions!F24</f>
        <v/>
      </c>
    </row>
    <row r="20">
      <c r="A20" t="inlineStr">
        <is>
          <t>S&amp;M</t>
        </is>
      </c>
      <c r="B20" s="13" t="n">
        <v>2616</v>
      </c>
      <c r="C20" s="13">
        <f>C16*Assumptions!C28</f>
        <v/>
      </c>
      <c r="D20" s="13">
        <f>D16*Assumptions!D28</f>
        <v/>
      </c>
      <c r="E20" s="13">
        <f>E16*Assumptions!E28</f>
        <v/>
      </c>
      <c r="F20" s="13">
        <f>F16*Assumptions!F28</f>
        <v/>
      </c>
    </row>
    <row r="21">
      <c r="A21" t="inlineStr">
        <is>
          <t>G&amp;A</t>
        </is>
      </c>
      <c r="B21" s="13" t="n">
        <v>912</v>
      </c>
      <c r="C21" s="13">
        <f>C16*Assumptions!C32</f>
        <v/>
      </c>
      <c r="D21" s="13">
        <f>D16*Assumptions!D32</f>
        <v/>
      </c>
      <c r="E21" s="13">
        <f>E16*Assumptions!E32</f>
        <v/>
      </c>
      <c r="F21" s="13">
        <f>F16*Assumptions!F32</f>
        <v/>
      </c>
    </row>
    <row r="22">
      <c r="A22" s="2" t="inlineStr">
        <is>
          <t>Operating income</t>
        </is>
      </c>
      <c r="B22" s="13" t="n">
        <v>721</v>
      </c>
      <c r="C22" s="15">
        <f>C18-C19-C20-C21-(280)</f>
        <v/>
      </c>
      <c r="D22" s="15">
        <f>D18-D19-D20-D21-(300)</f>
        <v/>
      </c>
      <c r="E22" s="15">
        <f>E18-E19-E20-E21-(320)</f>
        <v/>
      </c>
      <c r="F22" s="15">
        <f>F18-F19-F20-F21-(340)</f>
        <v/>
      </c>
    </row>
    <row r="23">
      <c r="A23" t="inlineStr">
        <is>
          <t>Operating margin %</t>
        </is>
      </c>
      <c r="B23" s="7">
        <f>B22/B16</f>
        <v/>
      </c>
      <c r="C23" s="7">
        <f>C22/C16</f>
        <v/>
      </c>
      <c r="D23" s="7">
        <f>D22/D16</f>
        <v/>
      </c>
      <c r="E23" s="7">
        <f>E22/E16</f>
        <v/>
      </c>
      <c r="F23" s="7">
        <f>F22/F16</f>
        <v/>
      </c>
    </row>
    <row r="25">
      <c r="A25" s="3" t="inlineStr">
        <is>
          <t>Cash Flow</t>
        </is>
      </c>
      <c r="B25" s="11" t="n"/>
      <c r="C25" s="11" t="n"/>
      <c r="D25" s="11" t="n"/>
      <c r="E25" s="11" t="n"/>
      <c r="F25" s="11" t="n"/>
    </row>
    <row r="26">
      <c r="A26" t="inlineStr">
        <is>
          <t>Cash from operations</t>
        </is>
      </c>
      <c r="B26" s="16" t="n">
        <v>2939</v>
      </c>
      <c r="C26" s="16">
        <f>C16*Assumptions!C40</f>
        <v/>
      </c>
      <c r="D26" s="16">
        <f>D16*Assumptions!D40</f>
        <v/>
      </c>
      <c r="E26" s="16">
        <f>E16*Assumptions!E40</f>
        <v/>
      </c>
      <c r="F26" s="16">
        <f>F16*Assumptions!F40</f>
        <v/>
      </c>
    </row>
    <row r="27">
      <c r="A27" t="inlineStr">
        <is>
          <t>Capex (~2% rev)</t>
        </is>
      </c>
      <c r="B27" s="13" t="n">
        <v>162</v>
      </c>
      <c r="C27" s="13">
        <f>C16*0.02</f>
        <v/>
      </c>
      <c r="D27" s="13">
        <f>D16*0.02</f>
        <v/>
      </c>
      <c r="E27" s="13">
        <f>E16*0.02</f>
        <v/>
      </c>
      <c r="F27" s="13">
        <f>F16*0.02</f>
        <v/>
      </c>
    </row>
    <row r="28">
      <c r="A28" s="2" t="inlineStr">
        <is>
          <t>Free cash flow</t>
        </is>
      </c>
      <c r="B28" s="17">
        <f>B26-B27</f>
        <v/>
      </c>
      <c r="C28" s="17">
        <f>C26-C27</f>
        <v/>
      </c>
      <c r="D28" s="17">
        <f>D26-D27</f>
        <v/>
      </c>
      <c r="E28" s="17">
        <f>E26-E27</f>
        <v/>
      </c>
      <c r="F28" s="17">
        <f>F26-F27</f>
        <v/>
      </c>
    </row>
    <row r="29">
      <c r="A29" t="inlineStr">
        <is>
          <t>SBC</t>
        </is>
      </c>
      <c r="B29" s="13" t="n">
        <v>1626</v>
      </c>
      <c r="C29" s="13">
        <f>C16*Assumptions!C36</f>
        <v/>
      </c>
      <c r="D29" s="13">
        <f>D16*Assumptions!D36</f>
        <v/>
      </c>
      <c r="E29" s="13">
        <f>E16*Assumptions!E36</f>
        <v/>
      </c>
      <c r="F29" s="13">
        <f>F16*Assumptions!F36</f>
        <v/>
      </c>
    </row>
    <row r="30">
      <c r="A30" s="2" t="inlineStr">
        <is>
          <t>FCF − SBC</t>
        </is>
      </c>
      <c r="B30" s="15">
        <f>B28-B29</f>
        <v/>
      </c>
      <c r="C30" s="15">
        <f>C28-C29</f>
        <v/>
      </c>
      <c r="D30" s="15">
        <f>D28-D29</f>
        <v/>
      </c>
      <c r="E30" s="15">
        <f>E28-E29</f>
        <v/>
      </c>
      <c r="F30" s="15">
        <f>F28-F29</f>
        <v/>
      </c>
    </row>
    <row r="32">
      <c r="A32" s="3" t="inlineStr">
        <is>
          <t>Per-share</t>
        </is>
      </c>
      <c r="B32" s="11" t="n"/>
      <c r="C32" s="11" t="n"/>
      <c r="D32" s="11" t="n"/>
      <c r="E32" s="11" t="n"/>
      <c r="F32" s="11" t="n"/>
    </row>
    <row r="33">
      <c r="A33" t="inlineStr">
        <is>
          <t>Diluted shares (M)</t>
        </is>
      </c>
      <c r="B33" s="18" t="n">
        <v>268</v>
      </c>
      <c r="C33" s="18">
        <f>B33*(1-Assumptions!C44)</f>
        <v/>
      </c>
      <c r="D33" s="18">
        <f>C33*(1-Assumptions!D44)</f>
        <v/>
      </c>
      <c r="E33" s="18">
        <f>D33*(1-Assumptions!E44)</f>
        <v/>
      </c>
      <c r="F33" s="18">
        <f>E33*(1-Assumptions!F44)</f>
        <v/>
      </c>
    </row>
    <row r="34">
      <c r="A34" t="inlineStr">
        <is>
          <t>FCF / share</t>
        </is>
      </c>
      <c r="B34" s="6">
        <f>B28/B33</f>
        <v/>
      </c>
      <c r="C34" s="6">
        <f>C28/C33</f>
        <v/>
      </c>
      <c r="D34" s="6">
        <f>D28/D33</f>
        <v/>
      </c>
      <c r="E34" s="6">
        <f>E28/E33</f>
        <v/>
      </c>
      <c r="F34" s="6">
        <f>F28/F33</f>
        <v/>
      </c>
    </row>
    <row r="35">
      <c r="A35" t="inlineStr">
        <is>
          <t>12-mo backlog ($M)</t>
        </is>
      </c>
      <c r="B35" s="16" t="n">
        <v>8833</v>
      </c>
      <c r="C35" s="16">
        <f>B35*(1+Assumptions!C16)</f>
        <v/>
      </c>
      <c r="D35" s="16">
        <f>C35*(1+Assumptions!D16)</f>
        <v/>
      </c>
      <c r="E35" s="16">
        <f>D35*(1+Assumptions!E16)</f>
        <v/>
      </c>
      <c r="F35" s="16">
        <f>E35*(1+Assumptions!F16)</f>
        <v/>
      </c>
    </row>
    <row r="37">
      <c r="A37" s="3" t="inlineStr">
        <is>
          <t>Valuation (terminal = FY30)</t>
        </is>
      </c>
      <c r="B37" s="11" t="n"/>
      <c r="C37" s="11" t="n"/>
      <c r="D37" s="11" t="n"/>
      <c r="E37" s="11" t="n"/>
      <c r="F37" s="11" t="n"/>
    </row>
    <row r="38">
      <c r="A38" s="2" t="inlineStr">
        <is>
          <t>Target ($/sh, ARR-lens)</t>
        </is>
      </c>
      <c r="F38" s="19">
        <f>(Assumptions!C48*F35+Assumptions!B7*1000)/F33</f>
        <v/>
      </c>
    </row>
    <row r="39">
      <c r="A39" s="2" t="inlineStr">
        <is>
          <t>Target ($/sh, FCF-lens)</t>
        </is>
      </c>
      <c r="F39" s="19">
        <f>(Assumptions!C51*F28+Assumptions!B7*1000)/F33</f>
        <v/>
      </c>
    </row>
    <row r="40">
      <c r="A40" s="2" t="inlineStr">
        <is>
          <t>Target (blended)</t>
        </is>
      </c>
      <c r="F40" s="20">
        <f>AVERAGE(F38,F39)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WDAY forecast — Bear</t>
        </is>
      </c>
    </row>
    <row r="3">
      <c r="A3" s="4" t="inlineStr">
        <is>
          <t>$M unless noted</t>
        </is>
      </c>
      <c r="B3" s="4" t="inlineStr">
        <is>
          <t>FY26A</t>
        </is>
      </c>
      <c r="C3" s="4" t="inlineStr">
        <is>
          <t>FY27E</t>
        </is>
      </c>
      <c r="D3" s="4" t="inlineStr">
        <is>
          <t>FY28E</t>
        </is>
      </c>
      <c r="E3" s="4" t="inlineStr">
        <is>
          <t>FY29E</t>
        </is>
      </c>
      <c r="F3" s="4" t="inlineStr">
        <is>
          <t>FY30E</t>
        </is>
      </c>
    </row>
    <row r="4">
      <c r="A4" s="3" t="inlineStr">
        <is>
          <t>Drivers (from Assumptions tab)</t>
        </is>
      </c>
      <c r="B4" s="11" t="n"/>
      <c r="C4" s="11" t="n"/>
      <c r="D4" s="11" t="n"/>
      <c r="E4" s="11" t="n"/>
      <c r="F4" s="11" t="n"/>
    </row>
    <row r="5">
      <c r="A5" t="inlineStr">
        <is>
          <t>Revenue growth %</t>
        </is>
      </c>
      <c r="B5" t="inlineStr">
        <is>
          <t>—</t>
        </is>
      </c>
      <c r="C5" s="7">
        <f>Assumptions!C13</f>
        <v/>
      </c>
      <c r="D5" s="7">
        <f>Assumptions!D13</f>
        <v/>
      </c>
      <c r="E5" s="7">
        <f>Assumptions!E13</f>
        <v/>
      </c>
      <c r="F5" s="7">
        <f>Assumptions!F13</f>
        <v/>
      </c>
    </row>
    <row r="6">
      <c r="A6" t="inlineStr">
        <is>
          <t>Backlog growth %</t>
        </is>
      </c>
      <c r="B6" t="inlineStr">
        <is>
          <t>—</t>
        </is>
      </c>
      <c r="C6" s="7">
        <f>Assumptions!C17</f>
        <v/>
      </c>
      <c r="D6" s="7">
        <f>Assumptions!D17</f>
        <v/>
      </c>
      <c r="E6" s="7">
        <f>Assumptions!E17</f>
        <v/>
      </c>
      <c r="F6" s="7">
        <f>Assumptions!F17</f>
        <v/>
      </c>
    </row>
    <row r="7">
      <c r="A7" t="inlineStr">
        <is>
          <t>Cost of rev (% rev)</t>
        </is>
      </c>
      <c r="B7" t="inlineStr">
        <is>
          <t>—</t>
        </is>
      </c>
      <c r="C7" s="7">
        <f>Assumptions!C21</f>
        <v/>
      </c>
      <c r="D7" s="7">
        <f>Assumptions!D21</f>
        <v/>
      </c>
      <c r="E7" s="7">
        <f>Assumptions!E21</f>
        <v/>
      </c>
      <c r="F7" s="7">
        <f>Assumptions!F21</f>
        <v/>
      </c>
    </row>
    <row r="8">
      <c r="A8" t="inlineStr">
        <is>
          <t>R&amp;D (% rev)</t>
        </is>
      </c>
      <c r="B8" t="inlineStr">
        <is>
          <t>—</t>
        </is>
      </c>
      <c r="C8" s="7">
        <f>Assumptions!C25</f>
        <v/>
      </c>
      <c r="D8" s="7">
        <f>Assumptions!D25</f>
        <v/>
      </c>
      <c r="E8" s="7">
        <f>Assumptions!E25</f>
        <v/>
      </c>
      <c r="F8" s="7">
        <f>Assumptions!F25</f>
        <v/>
      </c>
    </row>
    <row r="9">
      <c r="A9" t="inlineStr">
        <is>
          <t>S&amp;M (% rev)</t>
        </is>
      </c>
      <c r="B9" t="inlineStr">
        <is>
          <t>—</t>
        </is>
      </c>
      <c r="C9" s="7">
        <f>Assumptions!C29</f>
        <v/>
      </c>
      <c r="D9" s="7">
        <f>Assumptions!D29</f>
        <v/>
      </c>
      <c r="E9" s="7">
        <f>Assumptions!E29</f>
        <v/>
      </c>
      <c r="F9" s="7">
        <f>Assumptions!F29</f>
        <v/>
      </c>
    </row>
    <row r="10">
      <c r="A10" t="inlineStr">
        <is>
          <t>G&amp;A (% rev)</t>
        </is>
      </c>
      <c r="B10" t="inlineStr">
        <is>
          <t>—</t>
        </is>
      </c>
      <c r="C10" s="7">
        <f>Assumptions!C33</f>
        <v/>
      </c>
      <c r="D10" s="7">
        <f>Assumptions!D33</f>
        <v/>
      </c>
      <c r="E10" s="7">
        <f>Assumptions!E33</f>
        <v/>
      </c>
      <c r="F10" s="7">
        <f>Assumptions!F33</f>
        <v/>
      </c>
    </row>
    <row r="11">
      <c r="A11" t="inlineStr">
        <is>
          <t>SBC (% rev)</t>
        </is>
      </c>
      <c r="B11" t="inlineStr">
        <is>
          <t>—</t>
        </is>
      </c>
      <c r="C11" s="7">
        <f>Assumptions!C37</f>
        <v/>
      </c>
      <c r="D11" s="7">
        <f>Assumptions!D37</f>
        <v/>
      </c>
      <c r="E11" s="7">
        <f>Assumptions!E37</f>
        <v/>
      </c>
      <c r="F11" s="7">
        <f>Assumptions!F37</f>
        <v/>
      </c>
    </row>
    <row r="12">
      <c r="A12" t="inlineStr">
        <is>
          <t>CFO margin</t>
        </is>
      </c>
      <c r="B12" t="inlineStr">
        <is>
          <t>—</t>
        </is>
      </c>
      <c r="C12" s="7">
        <f>Assumptions!C41</f>
        <v/>
      </c>
      <c r="D12" s="7">
        <f>Assumptions!D41</f>
        <v/>
      </c>
      <c r="E12" s="7">
        <f>Assumptions!E41</f>
        <v/>
      </c>
      <c r="F12" s="7">
        <f>Assumptions!F41</f>
        <v/>
      </c>
    </row>
    <row r="13">
      <c r="A13" t="inlineStr">
        <is>
          <t>Buyback (%/yr)</t>
        </is>
      </c>
      <c r="B13" t="inlineStr">
        <is>
          <t>—</t>
        </is>
      </c>
      <c r="C13" s="7">
        <f>Assumptions!C45</f>
        <v/>
      </c>
      <c r="D13" s="7">
        <f>Assumptions!D45</f>
        <v/>
      </c>
      <c r="E13" s="7">
        <f>Assumptions!E45</f>
        <v/>
      </c>
      <c r="F13" s="7">
        <f>Assumptions!F45</f>
        <v/>
      </c>
    </row>
    <row r="15">
      <c r="A15" s="3" t="inlineStr">
        <is>
          <t>Income Statement</t>
        </is>
      </c>
      <c r="B15" s="11" t="n"/>
      <c r="C15" s="11" t="n"/>
      <c r="D15" s="11" t="n"/>
      <c r="E15" s="11" t="n"/>
      <c r="F15" s="11" t="n"/>
    </row>
    <row r="16">
      <c r="A16" t="inlineStr">
        <is>
          <t>Revenue</t>
        </is>
      </c>
      <c r="B16" s="16" t="n">
        <v>9552</v>
      </c>
      <c r="C16" s="16">
        <f>B16*(1+Assumptions!C13)</f>
        <v/>
      </c>
      <c r="D16" s="16">
        <f>C16*(1+Assumptions!D13)</f>
        <v/>
      </c>
      <c r="E16" s="16">
        <f>D16*(1+Assumptions!E13)</f>
        <v/>
      </c>
      <c r="F16" s="16">
        <f>E16*(1+Assumptions!F13)</f>
        <v/>
      </c>
    </row>
    <row r="17">
      <c r="A17" t="inlineStr">
        <is>
          <t>Cost of revenue</t>
        </is>
      </c>
      <c r="B17" s="13" t="n">
        <v>2624</v>
      </c>
      <c r="C17" s="13">
        <f>C16*Assumptions!C21</f>
        <v/>
      </c>
      <c r="D17" s="13">
        <f>D16*Assumptions!D21</f>
        <v/>
      </c>
      <c r="E17" s="13">
        <f>E16*Assumptions!E21</f>
        <v/>
      </c>
      <c r="F17" s="13">
        <f>F16*Assumptions!F21</f>
        <v/>
      </c>
    </row>
    <row r="18">
      <c r="A18" s="2" t="inlineStr">
        <is>
          <t>Gross profit</t>
        </is>
      </c>
      <c r="B18" s="17">
        <f>B16-B17</f>
        <v/>
      </c>
      <c r="C18" s="17">
        <f>C16-C17</f>
        <v/>
      </c>
      <c r="D18" s="17">
        <f>D16-D17</f>
        <v/>
      </c>
      <c r="E18" s="17">
        <f>E16-E17</f>
        <v/>
      </c>
      <c r="F18" s="17">
        <f>F16-F17</f>
        <v/>
      </c>
    </row>
    <row r="19">
      <c r="A19" t="inlineStr">
        <is>
          <t>R&amp;D</t>
        </is>
      </c>
      <c r="B19" s="13" t="n">
        <v>2679</v>
      </c>
      <c r="C19" s="13">
        <f>C16*Assumptions!C25</f>
        <v/>
      </c>
      <c r="D19" s="13">
        <f>D16*Assumptions!D25</f>
        <v/>
      </c>
      <c r="E19" s="13">
        <f>E16*Assumptions!E25</f>
        <v/>
      </c>
      <c r="F19" s="13">
        <f>F16*Assumptions!F25</f>
        <v/>
      </c>
    </row>
    <row r="20">
      <c r="A20" t="inlineStr">
        <is>
          <t>S&amp;M</t>
        </is>
      </c>
      <c r="B20" s="13" t="n">
        <v>2616</v>
      </c>
      <c r="C20" s="13">
        <f>C16*Assumptions!C29</f>
        <v/>
      </c>
      <c r="D20" s="13">
        <f>D16*Assumptions!D29</f>
        <v/>
      </c>
      <c r="E20" s="13">
        <f>E16*Assumptions!E29</f>
        <v/>
      </c>
      <c r="F20" s="13">
        <f>F16*Assumptions!F29</f>
        <v/>
      </c>
    </row>
    <row r="21">
      <c r="A21" t="inlineStr">
        <is>
          <t>G&amp;A</t>
        </is>
      </c>
      <c r="B21" s="13" t="n">
        <v>912</v>
      </c>
      <c r="C21" s="13">
        <f>C16*Assumptions!C33</f>
        <v/>
      </c>
      <c r="D21" s="13">
        <f>D16*Assumptions!D33</f>
        <v/>
      </c>
      <c r="E21" s="13">
        <f>E16*Assumptions!E33</f>
        <v/>
      </c>
      <c r="F21" s="13">
        <f>F16*Assumptions!F33</f>
        <v/>
      </c>
    </row>
    <row r="22">
      <c r="A22" s="2" t="inlineStr">
        <is>
          <t>Operating income</t>
        </is>
      </c>
      <c r="B22" s="13" t="n">
        <v>721</v>
      </c>
      <c r="C22" s="15">
        <f>C18-C19-C20-C21-(280)</f>
        <v/>
      </c>
      <c r="D22" s="15">
        <f>D18-D19-D20-D21-(300)</f>
        <v/>
      </c>
      <c r="E22" s="15">
        <f>E18-E19-E20-E21-(320)</f>
        <v/>
      </c>
      <c r="F22" s="15">
        <f>F18-F19-F20-F21-(340)</f>
        <v/>
      </c>
    </row>
    <row r="23">
      <c r="A23" t="inlineStr">
        <is>
          <t>Operating margin %</t>
        </is>
      </c>
      <c r="B23" s="7">
        <f>B22/B16</f>
        <v/>
      </c>
      <c r="C23" s="7">
        <f>C22/C16</f>
        <v/>
      </c>
      <c r="D23" s="7">
        <f>D22/D16</f>
        <v/>
      </c>
      <c r="E23" s="7">
        <f>E22/E16</f>
        <v/>
      </c>
      <c r="F23" s="7">
        <f>F22/F16</f>
        <v/>
      </c>
    </row>
    <row r="25">
      <c r="A25" s="3" t="inlineStr">
        <is>
          <t>Cash Flow</t>
        </is>
      </c>
      <c r="B25" s="11" t="n"/>
      <c r="C25" s="11" t="n"/>
      <c r="D25" s="11" t="n"/>
      <c r="E25" s="11" t="n"/>
      <c r="F25" s="11" t="n"/>
    </row>
    <row r="26">
      <c r="A26" t="inlineStr">
        <is>
          <t>Cash from operations</t>
        </is>
      </c>
      <c r="B26" s="16" t="n">
        <v>2939</v>
      </c>
      <c r="C26" s="16">
        <f>C16*Assumptions!C41</f>
        <v/>
      </c>
      <c r="D26" s="16">
        <f>D16*Assumptions!D41</f>
        <v/>
      </c>
      <c r="E26" s="16">
        <f>E16*Assumptions!E41</f>
        <v/>
      </c>
      <c r="F26" s="16">
        <f>F16*Assumptions!F41</f>
        <v/>
      </c>
    </row>
    <row r="27">
      <c r="A27" t="inlineStr">
        <is>
          <t>Capex (~2% rev)</t>
        </is>
      </c>
      <c r="B27" s="13" t="n">
        <v>162</v>
      </c>
      <c r="C27" s="13">
        <f>C16*0.02</f>
        <v/>
      </c>
      <c r="D27" s="13">
        <f>D16*0.02</f>
        <v/>
      </c>
      <c r="E27" s="13">
        <f>E16*0.02</f>
        <v/>
      </c>
      <c r="F27" s="13">
        <f>F16*0.02</f>
        <v/>
      </c>
    </row>
    <row r="28">
      <c r="A28" s="2" t="inlineStr">
        <is>
          <t>Free cash flow</t>
        </is>
      </c>
      <c r="B28" s="17">
        <f>B26-B27</f>
        <v/>
      </c>
      <c r="C28" s="17">
        <f>C26-C27</f>
        <v/>
      </c>
      <c r="D28" s="17">
        <f>D26-D27</f>
        <v/>
      </c>
      <c r="E28" s="17">
        <f>E26-E27</f>
        <v/>
      </c>
      <c r="F28" s="17">
        <f>F26-F27</f>
        <v/>
      </c>
    </row>
    <row r="29">
      <c r="A29" t="inlineStr">
        <is>
          <t>SBC</t>
        </is>
      </c>
      <c r="B29" s="13" t="n">
        <v>1626</v>
      </c>
      <c r="C29" s="13">
        <f>C16*Assumptions!C37</f>
        <v/>
      </c>
      <c r="D29" s="13">
        <f>D16*Assumptions!D37</f>
        <v/>
      </c>
      <c r="E29" s="13">
        <f>E16*Assumptions!E37</f>
        <v/>
      </c>
      <c r="F29" s="13">
        <f>F16*Assumptions!F37</f>
        <v/>
      </c>
    </row>
    <row r="30">
      <c r="A30" s="2" t="inlineStr">
        <is>
          <t>FCF − SBC</t>
        </is>
      </c>
      <c r="B30" s="15">
        <f>B28-B29</f>
        <v/>
      </c>
      <c r="C30" s="15">
        <f>C28-C29</f>
        <v/>
      </c>
      <c r="D30" s="15">
        <f>D28-D29</f>
        <v/>
      </c>
      <c r="E30" s="15">
        <f>E28-E29</f>
        <v/>
      </c>
      <c r="F30" s="15">
        <f>F28-F29</f>
        <v/>
      </c>
    </row>
    <row r="32">
      <c r="A32" s="3" t="inlineStr">
        <is>
          <t>Per-share</t>
        </is>
      </c>
      <c r="B32" s="11" t="n"/>
      <c r="C32" s="11" t="n"/>
      <c r="D32" s="11" t="n"/>
      <c r="E32" s="11" t="n"/>
      <c r="F32" s="11" t="n"/>
    </row>
    <row r="33">
      <c r="A33" t="inlineStr">
        <is>
          <t>Diluted shares (M)</t>
        </is>
      </c>
      <c r="B33" s="18" t="n">
        <v>268</v>
      </c>
      <c r="C33" s="18">
        <f>B33*(1-Assumptions!C45)</f>
        <v/>
      </c>
      <c r="D33" s="18">
        <f>C33*(1-Assumptions!D45)</f>
        <v/>
      </c>
      <c r="E33" s="18">
        <f>D33*(1-Assumptions!E45)</f>
        <v/>
      </c>
      <c r="F33" s="18">
        <f>E33*(1-Assumptions!F45)</f>
        <v/>
      </c>
    </row>
    <row r="34">
      <c r="A34" t="inlineStr">
        <is>
          <t>FCF / share</t>
        </is>
      </c>
      <c r="B34" s="6">
        <f>B28/B33</f>
        <v/>
      </c>
      <c r="C34" s="6">
        <f>C28/C33</f>
        <v/>
      </c>
      <c r="D34" s="6">
        <f>D28/D33</f>
        <v/>
      </c>
      <c r="E34" s="6">
        <f>E28/E33</f>
        <v/>
      </c>
      <c r="F34" s="6">
        <f>F28/F33</f>
        <v/>
      </c>
    </row>
    <row r="35">
      <c r="A35" t="inlineStr">
        <is>
          <t>12-mo backlog ($M)</t>
        </is>
      </c>
      <c r="B35" s="16" t="n">
        <v>8833</v>
      </c>
      <c r="C35" s="16">
        <f>B35*(1+Assumptions!C17)</f>
        <v/>
      </c>
      <c r="D35" s="16">
        <f>C35*(1+Assumptions!D17)</f>
        <v/>
      </c>
      <c r="E35" s="16">
        <f>D35*(1+Assumptions!E17)</f>
        <v/>
      </c>
      <c r="F35" s="16">
        <f>E35*(1+Assumptions!F17)</f>
        <v/>
      </c>
    </row>
    <row r="37">
      <c r="A37" s="3" t="inlineStr">
        <is>
          <t>Valuation (terminal = FY30)</t>
        </is>
      </c>
      <c r="B37" s="11" t="n"/>
      <c r="C37" s="11" t="n"/>
      <c r="D37" s="11" t="n"/>
      <c r="E37" s="11" t="n"/>
      <c r="F37" s="11" t="n"/>
    </row>
    <row r="38">
      <c r="A38" s="2" t="inlineStr">
        <is>
          <t>Target ($/sh, ARR-lens)</t>
        </is>
      </c>
      <c r="F38" s="19">
        <f>(Assumptions!C49*F35+Assumptions!B7*1000)/F33</f>
        <v/>
      </c>
    </row>
    <row r="39">
      <c r="A39" s="2" t="inlineStr">
        <is>
          <t>Target ($/sh, FCF-lens)</t>
        </is>
      </c>
      <c r="F39" s="19">
        <f>(Assumptions!C52*F28+Assumptions!B7*1000)/F33</f>
        <v/>
      </c>
    </row>
    <row r="40">
      <c r="A40" s="2" t="inlineStr">
        <is>
          <t>Target (blended)</t>
        </is>
      </c>
      <c r="F40" s="20">
        <f>AVERAGE(F38,F39)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19" t="n">
        <v>728.29</v>
      </c>
      <c r="D4" s="7">
        <f>C4/129.34-1</f>
        <v/>
      </c>
      <c r="E4" s="7">
        <f>(C4/129.34)^(1/4)-1</f>
        <v/>
      </c>
      <c r="F4" s="19">
        <f>B4*C4</f>
        <v/>
      </c>
    </row>
    <row r="5">
      <c r="A5" t="inlineStr">
        <is>
          <t>Run For Cash</t>
        </is>
      </c>
      <c r="B5" s="5">
        <f>Assumptions!C54</f>
        <v/>
      </c>
      <c r="C5" s="19" t="n">
        <v>124.18</v>
      </c>
      <c r="D5" s="7">
        <f>C5/129.34-1</f>
        <v/>
      </c>
      <c r="E5" s="7">
        <f>(C5/129.34)^(1/4)-1</f>
        <v/>
      </c>
      <c r="F5" s="19">
        <f>B5*C5</f>
        <v/>
      </c>
    </row>
    <row r="6">
      <c r="A6" t="inlineStr">
        <is>
          <t>Bear</t>
        </is>
      </c>
      <c r="B6" s="5">
        <f>Assumptions!C55</f>
        <v/>
      </c>
      <c r="C6" s="19" t="n">
        <v>68.23</v>
      </c>
      <c r="D6" s="7">
        <f>C6/129.34-1</f>
        <v/>
      </c>
      <c r="E6" s="7">
        <f>(C6/129.34)^(1/4)-1</f>
        <v/>
      </c>
      <c r="F6" s="19">
        <f>B6*C6</f>
        <v/>
      </c>
    </row>
    <row r="8">
      <c r="A8" s="2" t="inlineStr">
        <is>
          <t>Probability-weighted</t>
        </is>
      </c>
      <c r="C8" s="20">
        <f>SUM(F4:F6)</f>
        <v/>
      </c>
      <c r="D8" s="21">
        <f>C8/129.34-1</f>
        <v/>
      </c>
      <c r="E8" s="21">
        <f>(C8/129.34)^(1/4)-1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22" t="inlineStr">
        <is>
          <t>8×</t>
        </is>
      </c>
      <c r="C5" s="22" t="inlineStr">
        <is>
          <t>12×</t>
        </is>
      </c>
      <c r="D5" s="22" t="inlineStr">
        <is>
          <t>16×</t>
        </is>
      </c>
      <c r="E5" s="22" t="inlineStr">
        <is>
          <t>20×</t>
        </is>
      </c>
      <c r="F5" s="22" t="inlineStr">
        <is>
          <t>24×</t>
        </is>
      </c>
      <c r="G5" s="22" t="inlineStr">
        <is>
          <t>28×</t>
        </is>
      </c>
    </row>
    <row r="6">
      <c r="A6" s="3" t="inlineStr">
        <is>
          <t>$10</t>
        </is>
      </c>
      <c r="B6" s="23" t="n">
        <v>80</v>
      </c>
      <c r="C6" s="24" t="n">
        <v>120</v>
      </c>
      <c r="D6" s="20" t="n">
        <v>160</v>
      </c>
      <c r="E6" s="25" t="n">
        <v>200</v>
      </c>
      <c r="F6" s="25" t="n">
        <v>240</v>
      </c>
      <c r="G6" s="25" t="n">
        <v>280</v>
      </c>
    </row>
    <row r="7">
      <c r="A7" s="3" t="inlineStr">
        <is>
          <t>$14</t>
        </is>
      </c>
      <c r="B7" s="24" t="n">
        <v>112</v>
      </c>
      <c r="C7" s="20" t="n">
        <v>168</v>
      </c>
      <c r="D7" s="25" t="n">
        <v>224</v>
      </c>
      <c r="E7" s="25" t="n">
        <v>280</v>
      </c>
      <c r="F7" s="26" t="n">
        <v>336</v>
      </c>
      <c r="G7" s="26" t="n">
        <v>392</v>
      </c>
    </row>
    <row r="8">
      <c r="A8" s="3" t="inlineStr">
        <is>
          <t>$18</t>
        </is>
      </c>
      <c r="B8" s="20" t="n">
        <v>144</v>
      </c>
      <c r="C8" s="25" t="n">
        <v>216</v>
      </c>
      <c r="D8" s="25" t="n">
        <v>288</v>
      </c>
      <c r="E8" s="26" t="n">
        <v>360</v>
      </c>
      <c r="F8" s="26" t="n">
        <v>432</v>
      </c>
      <c r="G8" s="26" t="n">
        <v>504</v>
      </c>
    </row>
    <row r="9">
      <c r="A9" s="3" t="inlineStr">
        <is>
          <t>$22</t>
        </is>
      </c>
      <c r="B9" s="20" t="n">
        <v>176</v>
      </c>
      <c r="C9" s="25" t="n">
        <v>264</v>
      </c>
      <c r="D9" s="26" t="n">
        <v>352</v>
      </c>
      <c r="E9" s="26" t="n">
        <v>440</v>
      </c>
      <c r="F9" s="26" t="n">
        <v>528</v>
      </c>
      <c r="G9" s="26" t="n">
        <v>616</v>
      </c>
    </row>
    <row r="10">
      <c r="A10" s="3" t="inlineStr">
        <is>
          <t>$26</t>
        </is>
      </c>
      <c r="B10" s="25" t="n">
        <v>208</v>
      </c>
      <c r="C10" s="25" t="n">
        <v>312</v>
      </c>
      <c r="D10" s="26" t="n">
        <v>416</v>
      </c>
      <c r="E10" s="26" t="n">
        <v>520</v>
      </c>
      <c r="F10" s="26" t="n">
        <v>624</v>
      </c>
      <c r="G10" s="26" t="n">
        <v>728</v>
      </c>
    </row>
    <row r="11">
      <c r="A11" s="3" t="inlineStr">
        <is>
          <t>$30</t>
        </is>
      </c>
      <c r="B11" s="25" t="n">
        <v>240</v>
      </c>
      <c r="C11" s="26" t="n">
        <v>360</v>
      </c>
      <c r="D11" s="26" t="n">
        <v>480</v>
      </c>
      <c r="E11" s="26" t="n">
        <v>600</v>
      </c>
      <c r="F11" s="26" t="n">
        <v>720</v>
      </c>
      <c r="G11" s="26" t="n">
        <v>840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  <col width="16" customWidth="1" min="5" max="5"/>
    <col width="18" customWidth="1" min="6" max="6"/>
    <col width="18" customWidth="1" min="7" max="7"/>
    <col width="10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 Shareholder Return decomposition</t>
        </is>
      </c>
    </row>
    <row r="2">
      <c r="A2" t="inlineStr">
        <is>
          <t>Entry price: $129.34.  Buyback accretion is attribution-only — already inside terminal price.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Terminal $/sh</t>
        </is>
      </c>
      <c r="E4" s="4" t="inlineStr">
        <is>
          <t>Px appreciation %</t>
        </is>
      </c>
      <c r="F4" s="4" t="inlineStr">
        <is>
          <t>Cum div % (cum$)</t>
        </is>
      </c>
      <c r="G4" s="4" t="inlineStr">
        <is>
          <t>Buyback accretion %</t>
        </is>
      </c>
      <c r="H4" s="4" t="inlineStr">
        <is>
          <t>TSR %</t>
        </is>
      </c>
      <c r="I4" s="4" t="inlineStr">
        <is>
          <t>IRR % (annualized)</t>
        </is>
      </c>
      <c r="J4" s="4" t="inlineStr">
        <is>
          <t>Entry shares (M)</t>
        </is>
      </c>
      <c r="K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592.42</v>
      </c>
      <c r="E5" s="7" t="n">
        <v>3.58</v>
      </c>
      <c r="F5" t="inlineStr">
        <is>
          <t>0.0% ($0.00)</t>
        </is>
      </c>
      <c r="G5" s="7" t="n">
        <v>0.068</v>
      </c>
      <c r="H5" s="21" t="n">
        <v>3.58</v>
      </c>
      <c r="I5" s="7" t="n">
        <v>0.6609999999999999</v>
      </c>
      <c r="J5" s="18" t="n">
        <v>268</v>
      </c>
      <c r="K5" s="18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728.29</v>
      </c>
      <c r="E6" s="7" t="n">
        <v>4.631</v>
      </c>
      <c r="F6" t="inlineStr">
        <is>
          <t>0.0% ($0.00)</t>
        </is>
      </c>
      <c r="G6" s="7" t="n">
        <v>0.095</v>
      </c>
      <c r="H6" s="21" t="n">
        <v>4.631</v>
      </c>
      <c r="I6" s="7" t="n">
        <v>0.54</v>
      </c>
      <c r="J6" s="18" t="n">
        <v>268</v>
      </c>
      <c r="K6" s="18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125.57</v>
      </c>
      <c r="E7" s="7" t="n">
        <v>-0.029</v>
      </c>
      <c r="F7" t="inlineStr">
        <is>
          <t>9.2% ($11.93)</t>
        </is>
      </c>
      <c r="G7" s="7" t="n">
        <v>0.231</v>
      </c>
      <c r="H7" s="21" t="n">
        <v>0.063</v>
      </c>
      <c r="I7" s="7" t="n">
        <v>0.021</v>
      </c>
      <c r="J7" s="18" t="n">
        <v>268</v>
      </c>
      <c r="K7" s="18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124.18</v>
      </c>
      <c r="E8" s="7" t="n">
        <v>-0.04</v>
      </c>
      <c r="F8" t="inlineStr">
        <is>
          <t>14.7% ($19.00)</t>
        </is>
      </c>
      <c r="G8" s="7" t="n">
        <v>0.367</v>
      </c>
      <c r="H8" s="21" t="n">
        <v>0.107</v>
      </c>
      <c r="I8" s="7" t="n">
        <v>0.026</v>
      </c>
      <c r="J8" s="18" t="n">
        <v>268</v>
      </c>
      <c r="K8" s="18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73.65000000000001</v>
      </c>
      <c r="E9" s="7" t="n">
        <v>-0.431</v>
      </c>
      <c r="F9" t="inlineStr">
        <is>
          <t>2.5% ($3.26)</t>
        </is>
      </c>
      <c r="G9" s="7" t="n">
        <v>0.107</v>
      </c>
      <c r="H9" s="21" t="n">
        <v>-0.405</v>
      </c>
      <c r="I9" s="7" t="n">
        <v>-0.159</v>
      </c>
      <c r="J9" s="18" t="n">
        <v>268</v>
      </c>
      <c r="K9" s="18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68.23</v>
      </c>
      <c r="E10" s="7" t="n">
        <v>-0.472</v>
      </c>
      <c r="F10" t="inlineStr">
        <is>
          <t>4.1% ($5.27)</t>
        </is>
      </c>
      <c r="G10" s="7" t="n">
        <v>0.153</v>
      </c>
      <c r="H10" s="21" t="n">
        <v>-0.4320000000000001</v>
      </c>
      <c r="I10" s="7" t="n">
        <v>-0.132</v>
      </c>
      <c r="J10" s="18" t="n">
        <v>268</v>
      </c>
      <c r="K10" s="18" t="n">
        <v>232.4</v>
      </c>
    </row>
    <row r="12">
      <c r="A12" s="2" t="inlineStr">
        <is>
          <t>Probability-weighted FY29 TSR</t>
        </is>
      </c>
      <c r="H12" s="21" t="n">
        <v>1.154</v>
      </c>
    </row>
    <row r="13">
      <c r="A13" s="2" t="inlineStr">
        <is>
          <t>Probability-weighted FY30 TSR</t>
        </is>
      </c>
      <c r="H13" s="21" t="n">
        <v>1.529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7" t="n">
        <v>0</v>
      </c>
      <c r="C6" s="7" t="n">
        <v>0.13</v>
      </c>
      <c r="D6" s="7" t="n">
        <v>0.065</v>
      </c>
      <c r="E6" s="7" t="n">
        <v>0.039</v>
      </c>
      <c r="F6" s="7" t="n">
        <v>0.026</v>
      </c>
      <c r="G6" s="21" t="n">
        <v>0</v>
      </c>
      <c r="H6" s="16" t="n">
        <v>9981</v>
      </c>
      <c r="I6" s="16" t="n">
        <v>0</v>
      </c>
      <c r="J6" s="16" t="n">
        <v>574</v>
      </c>
    </row>
    <row r="7">
      <c r="A7" t="inlineStr">
        <is>
          <t>FY2028</t>
        </is>
      </c>
      <c r="B7" s="7" t="n">
        <v>0.08</v>
      </c>
      <c r="C7" s="7" t="n">
        <v>0.14</v>
      </c>
      <c r="D7" s="7" t="n">
        <v>0.03</v>
      </c>
      <c r="E7" s="7" t="n">
        <v>0.018</v>
      </c>
      <c r="F7" s="7" t="n">
        <v>0.012</v>
      </c>
      <c r="G7" s="21" t="n">
        <v>0.08</v>
      </c>
      <c r="H7" s="16" t="n">
        <v>11379</v>
      </c>
      <c r="I7" s="16" t="n">
        <v>799</v>
      </c>
      <c r="J7" s="16" t="n">
        <v>299</v>
      </c>
    </row>
    <row r="8">
      <c r="A8" t="inlineStr">
        <is>
          <t>FY2029</t>
        </is>
      </c>
      <c r="B8" s="7" t="n">
        <v>0.18</v>
      </c>
      <c r="C8" s="7" t="n">
        <v>0.15</v>
      </c>
      <c r="D8" s="7" t="n">
        <v>0.025</v>
      </c>
      <c r="E8" s="7" t="n">
        <v>0.015</v>
      </c>
      <c r="F8" s="7" t="n">
        <v>0.01</v>
      </c>
      <c r="G8" s="21" t="n">
        <v>0.1</v>
      </c>
      <c r="H8" s="16" t="n">
        <v>13085</v>
      </c>
      <c r="I8" s="16" t="n">
        <v>1138</v>
      </c>
      <c r="J8" s="16" t="n">
        <v>284</v>
      </c>
    </row>
    <row r="9">
      <c r="A9" t="inlineStr">
        <is>
          <t>FY2030</t>
        </is>
      </c>
      <c r="B9" s="7" t="n">
        <v>0.3</v>
      </c>
      <c r="C9" s="7" t="n">
        <v>0.13</v>
      </c>
      <c r="D9" s="7" t="n">
        <v>0.005</v>
      </c>
      <c r="E9" s="7" t="n">
        <v>0.003</v>
      </c>
      <c r="F9" s="7" t="n">
        <v>0.002</v>
      </c>
      <c r="G9" s="21" t="n">
        <v>0.12</v>
      </c>
      <c r="H9" s="16" t="n">
        <v>14787</v>
      </c>
      <c r="I9" s="16" t="n">
        <v>1570</v>
      </c>
      <c r="J9" s="16" t="n">
        <v>65</v>
      </c>
    </row>
    <row r="11">
      <c r="A11" s="3" t="inlineStr">
        <is>
          <t>Runs For Cash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7" t="n">
        <v>0</v>
      </c>
      <c r="C13" s="7" t="n">
        <v>0.05</v>
      </c>
      <c r="D13" s="7" t="n">
        <v>0.025</v>
      </c>
      <c r="E13" s="7" t="n">
        <v>0.015</v>
      </c>
      <c r="F13" s="7" t="n">
        <v>0.01</v>
      </c>
      <c r="G13" s="21" t="n">
        <v>0</v>
      </c>
      <c r="H13" s="16" t="n">
        <v>9275</v>
      </c>
      <c r="I13" s="16" t="n">
        <v>0</v>
      </c>
      <c r="J13" s="16" t="n">
        <v>221</v>
      </c>
    </row>
    <row r="14">
      <c r="A14" t="inlineStr">
        <is>
          <t>FY2028</t>
        </is>
      </c>
      <c r="B14" s="7" t="n">
        <v>0.05</v>
      </c>
      <c r="C14" s="7" t="n">
        <v>-0.04</v>
      </c>
      <c r="D14" s="7" t="n">
        <v>-0.045</v>
      </c>
      <c r="E14" s="7" t="n">
        <v>-0.027</v>
      </c>
      <c r="F14" s="7" t="n">
        <v>-0.018</v>
      </c>
      <c r="G14" s="21" t="n">
        <v>0.05</v>
      </c>
      <c r="H14" s="16" t="n">
        <v>8904</v>
      </c>
      <c r="I14" s="16" t="n">
        <v>464</v>
      </c>
      <c r="J14" s="16" t="n">
        <v>-417</v>
      </c>
    </row>
    <row r="15">
      <c r="A15" t="inlineStr">
        <is>
          <t>FY2029</t>
        </is>
      </c>
      <c r="B15" s="7" t="n">
        <v>0.12</v>
      </c>
      <c r="C15" s="7" t="n">
        <v>-0.1</v>
      </c>
      <c r="D15" s="7" t="n">
        <v>-0.08500000000000001</v>
      </c>
      <c r="E15" s="7" t="n">
        <v>-0.051</v>
      </c>
      <c r="F15" s="7" t="n">
        <v>-0.034</v>
      </c>
      <c r="G15" s="21" t="n">
        <v>0.07000000000000001</v>
      </c>
      <c r="H15" s="16" t="n">
        <v>8013</v>
      </c>
      <c r="I15" s="16" t="n">
        <v>623</v>
      </c>
      <c r="J15" s="16" t="n">
        <v>-757</v>
      </c>
    </row>
    <row r="16">
      <c r="A16" t="inlineStr">
        <is>
          <t>FY2030</t>
        </is>
      </c>
      <c r="B16" s="7" t="n">
        <v>0.2</v>
      </c>
      <c r="C16" s="7" t="n">
        <v>-0.1</v>
      </c>
      <c r="D16" s="7" t="n">
        <v>-0.09</v>
      </c>
      <c r="E16" s="7" t="n">
        <v>-0.05400000000000001</v>
      </c>
      <c r="F16" s="7" t="n">
        <v>-0.036</v>
      </c>
      <c r="G16" s="21" t="n">
        <v>0.08</v>
      </c>
      <c r="H16" s="16" t="n">
        <v>7212</v>
      </c>
      <c r="I16" s="16" t="n">
        <v>641</v>
      </c>
      <c r="J16" s="16" t="n">
        <v>-721</v>
      </c>
    </row>
    <row r="18">
      <c r="A18" s="3" t="inlineStr">
        <is>
          <t>What Goes Wrong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7" t="n">
        <v>0</v>
      </c>
      <c r="C20" s="7" t="n">
        <v>-0.05</v>
      </c>
      <c r="D20" s="7" t="n">
        <v>-0.025</v>
      </c>
      <c r="E20" s="7" t="n">
        <v>-0.015</v>
      </c>
      <c r="F20" s="7" t="n">
        <v>-0.01</v>
      </c>
      <c r="G20" s="21" t="n">
        <v>0</v>
      </c>
      <c r="H20" s="16" t="n">
        <v>8391</v>
      </c>
      <c r="I20" s="16" t="n">
        <v>0</v>
      </c>
      <c r="J20" s="16" t="n">
        <v>-221</v>
      </c>
    </row>
    <row r="21">
      <c r="A21" t="inlineStr">
        <is>
          <t>FY2028</t>
        </is>
      </c>
      <c r="B21" s="7" t="n">
        <v>0.03</v>
      </c>
      <c r="C21" s="7" t="n">
        <v>-0.1</v>
      </c>
      <c r="D21" s="7" t="n">
        <v>-0.065</v>
      </c>
      <c r="E21" s="7" t="n">
        <v>-0.039</v>
      </c>
      <c r="F21" s="7" t="n">
        <v>-0.026</v>
      </c>
      <c r="G21" s="21" t="n">
        <v>0.03</v>
      </c>
      <c r="H21" s="16" t="n">
        <v>7552</v>
      </c>
      <c r="I21" s="16" t="n">
        <v>252</v>
      </c>
      <c r="J21" s="16" t="n">
        <v>-545</v>
      </c>
    </row>
    <row r="22">
      <c r="A22" t="inlineStr">
        <is>
          <t>FY2029</t>
        </is>
      </c>
      <c r="B22" s="7" t="n">
        <v>0.08</v>
      </c>
      <c r="C22" s="7" t="n">
        <v>-0.11</v>
      </c>
      <c r="D22" s="7" t="n">
        <v>-0.08</v>
      </c>
      <c r="E22" s="7" t="n">
        <v>-0.048</v>
      </c>
      <c r="F22" s="7" t="n">
        <v>-0.032</v>
      </c>
      <c r="G22" s="21" t="n">
        <v>0.05</v>
      </c>
      <c r="H22" s="16" t="n">
        <v>6721</v>
      </c>
      <c r="I22" s="16" t="n">
        <v>378</v>
      </c>
      <c r="J22" s="16" t="n">
        <v>-604</v>
      </c>
    </row>
    <row r="23">
      <c r="A23" t="inlineStr">
        <is>
          <t>FY2030</t>
        </is>
      </c>
      <c r="B23" s="7" t="n">
        <v>0.15</v>
      </c>
      <c r="C23" s="7" t="n">
        <v>-0.1</v>
      </c>
      <c r="D23" s="7" t="n">
        <v>-0.08500000000000001</v>
      </c>
      <c r="E23" s="7" t="n">
        <v>-0.051</v>
      </c>
      <c r="F23" s="7" t="n">
        <v>-0.034</v>
      </c>
      <c r="G23" s="21" t="n">
        <v>0.07000000000000001</v>
      </c>
      <c r="H23" s="16" t="n">
        <v>6049</v>
      </c>
      <c r="I23" s="16" t="n">
        <v>471</v>
      </c>
      <c r="J23" s="16" t="n">
        <v>-571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22" t="inlineStr">
        <is>
          <t>16×</t>
        </is>
      </c>
      <c r="C4" s="22" t="inlineStr">
        <is>
          <t>18×</t>
        </is>
      </c>
      <c r="D4" s="22" t="inlineStr">
        <is>
          <t>20×</t>
        </is>
      </c>
      <c r="E4" s="22" t="inlineStr">
        <is>
          <t>22×</t>
        </is>
      </c>
      <c r="F4" s="22" t="inlineStr">
        <is>
          <t>24×</t>
        </is>
      </c>
      <c r="G4" s="22" t="inlineStr">
        <is>
          <t>26×</t>
        </is>
      </c>
    </row>
    <row r="5">
      <c r="A5" s="3" t="inlineStr">
        <is>
          <t>+16%</t>
        </is>
      </c>
      <c r="B5" s="25" t="n">
        <v>253.52</v>
      </c>
      <c r="C5" s="25" t="n">
        <v>284.38</v>
      </c>
      <c r="D5" s="25" t="n">
        <v>315.25</v>
      </c>
      <c r="E5" s="26" t="n">
        <v>346.11</v>
      </c>
      <c r="F5" s="26" t="n">
        <v>376.97</v>
      </c>
      <c r="G5" s="26" t="n">
        <v>407.83</v>
      </c>
    </row>
    <row r="6">
      <c r="A6" s="3" t="inlineStr">
        <is>
          <t>+14%</t>
        </is>
      </c>
      <c r="B6" s="25" t="n">
        <v>277.04</v>
      </c>
      <c r="C6" s="25" t="n">
        <v>310.84</v>
      </c>
      <c r="D6" s="26" t="n">
        <v>344.64</v>
      </c>
      <c r="E6" s="26" t="n">
        <v>378.44</v>
      </c>
      <c r="F6" s="26" t="n">
        <v>412.24</v>
      </c>
      <c r="G6" s="26" t="n">
        <v>446.04</v>
      </c>
    </row>
    <row r="7">
      <c r="A7" s="3" t="inlineStr">
        <is>
          <t>+12%</t>
        </is>
      </c>
      <c r="B7" s="25" t="n">
        <v>300.55</v>
      </c>
      <c r="C7" s="26" t="n">
        <v>337.29</v>
      </c>
      <c r="D7" s="26" t="n">
        <v>374.03</v>
      </c>
      <c r="E7" s="26" t="n">
        <v>410.77</v>
      </c>
      <c r="F7" s="26" t="n">
        <v>447.51</v>
      </c>
      <c r="G7" s="26" t="n">
        <v>484.26</v>
      </c>
    </row>
    <row r="8">
      <c r="A8" s="3" t="inlineStr">
        <is>
          <t>+10%</t>
        </is>
      </c>
      <c r="B8" s="26" t="n">
        <v>324.06</v>
      </c>
      <c r="C8" s="26" t="n">
        <v>363.74</v>
      </c>
      <c r="D8" s="26" t="n">
        <v>403.42</v>
      </c>
      <c r="E8" s="26" t="n">
        <v>443.11</v>
      </c>
      <c r="F8" s="26" t="n">
        <v>482.79</v>
      </c>
      <c r="G8" s="26" t="n">
        <v>522.47</v>
      </c>
    </row>
    <row r="9">
      <c r="A9" s="3" t="inlineStr">
        <is>
          <t>+8%</t>
        </is>
      </c>
      <c r="B9" s="26" t="n">
        <v>347.58</v>
      </c>
      <c r="C9" s="26" t="n">
        <v>390.2</v>
      </c>
      <c r="D9" s="26" t="n">
        <v>432.82</v>
      </c>
      <c r="E9" s="26" t="n">
        <v>475.44</v>
      </c>
      <c r="F9" s="26" t="n">
        <v>518.0599999999999</v>
      </c>
      <c r="G9" s="26" t="n">
        <v>560.6799999999999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22" t="inlineStr">
        <is>
          <t>10×</t>
        </is>
      </c>
      <c r="C4" s="22" t="inlineStr">
        <is>
          <t>14×</t>
        </is>
      </c>
      <c r="D4" s="22" t="inlineStr">
        <is>
          <t>18×</t>
        </is>
      </c>
      <c r="E4" s="22" t="inlineStr">
        <is>
          <t>22×</t>
        </is>
      </c>
      <c r="F4" s="22" t="inlineStr">
        <is>
          <t>26×</t>
        </is>
      </c>
      <c r="G4" s="22" t="inlineStr">
        <is>
          <t>30×</t>
        </is>
      </c>
    </row>
    <row r="5">
      <c r="A5" s="3" t="inlineStr">
        <is>
          <t>-5%</t>
        </is>
      </c>
      <c r="B5" s="24" t="n">
        <v>117.9</v>
      </c>
      <c r="C5" s="20" t="n">
        <v>162.41</v>
      </c>
      <c r="D5" s="25" t="n">
        <v>206.93</v>
      </c>
      <c r="E5" s="25" t="n">
        <v>251.44</v>
      </c>
      <c r="F5" s="25" t="n">
        <v>295.95</v>
      </c>
      <c r="G5" s="26" t="n">
        <v>340.46</v>
      </c>
    </row>
    <row r="6">
      <c r="A6" s="3" t="inlineStr">
        <is>
          <t>+0%</t>
        </is>
      </c>
      <c r="B6" s="20" t="n">
        <v>143.24</v>
      </c>
      <c r="C6" s="25" t="n">
        <v>197.89</v>
      </c>
      <c r="D6" s="25" t="n">
        <v>252.54</v>
      </c>
      <c r="E6" s="25" t="n">
        <v>307.19</v>
      </c>
      <c r="F6" s="26" t="n">
        <v>361.84</v>
      </c>
      <c r="G6" s="26" t="n">
        <v>416.49</v>
      </c>
    </row>
    <row r="7">
      <c r="A7" s="3" t="inlineStr">
        <is>
          <t>+5%</t>
        </is>
      </c>
      <c r="B7" s="20" t="n">
        <v>172.69</v>
      </c>
      <c r="C7" s="25" t="n">
        <v>239.12</v>
      </c>
      <c r="D7" s="25" t="n">
        <v>305.54</v>
      </c>
      <c r="E7" s="26" t="n">
        <v>371.97</v>
      </c>
      <c r="F7" s="26" t="n">
        <v>438.4</v>
      </c>
      <c r="G7" s="26" t="n">
        <v>504.82</v>
      </c>
    </row>
    <row r="8">
      <c r="A8" s="3" t="inlineStr">
        <is>
          <t>+10%</t>
        </is>
      </c>
      <c r="B8" s="25" t="n">
        <v>206.65</v>
      </c>
      <c r="C8" s="25" t="n">
        <v>286.66</v>
      </c>
      <c r="D8" s="26" t="n">
        <v>366.68</v>
      </c>
      <c r="E8" s="26" t="n">
        <v>446.69</v>
      </c>
      <c r="F8" s="26" t="n">
        <v>526.7</v>
      </c>
      <c r="G8" s="26" t="n">
        <v>606.72</v>
      </c>
    </row>
    <row r="9">
      <c r="A9" s="3" t="inlineStr">
        <is>
          <t>+15%</t>
        </is>
      </c>
      <c r="B9" s="25" t="n">
        <v>245.58</v>
      </c>
      <c r="C9" s="26" t="n">
        <v>341.16</v>
      </c>
      <c r="D9" s="26" t="n">
        <v>436.74</v>
      </c>
      <c r="E9" s="26" t="n">
        <v>532.33</v>
      </c>
      <c r="F9" s="26" t="n">
        <v>627.91</v>
      </c>
      <c r="G9" s="26" t="n">
        <v>723.49</v>
      </c>
    </row>
    <row r="10">
      <c r="A10" s="3" t="inlineStr">
        <is>
          <t>+20%</t>
        </is>
      </c>
      <c r="B10" s="25" t="n">
        <v>289.92</v>
      </c>
      <c r="C10" s="26" t="n">
        <v>403.25</v>
      </c>
      <c r="D10" s="26" t="n">
        <v>516.5700000000001</v>
      </c>
      <c r="E10" s="26" t="n">
        <v>629.89</v>
      </c>
      <c r="F10" s="26" t="n">
        <v>743.21</v>
      </c>
      <c r="G10" s="26" t="n">
        <v>856.53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22" t="inlineStr">
        <is>
          <t>+25%</t>
        </is>
      </c>
      <c r="C4" s="22" t="inlineStr">
        <is>
          <t>+30%</t>
        </is>
      </c>
      <c r="D4" s="22" t="inlineStr">
        <is>
          <t>+33%</t>
        </is>
      </c>
      <c r="E4" s="22" t="inlineStr">
        <is>
          <t>+36%</t>
        </is>
      </c>
      <c r="F4" s="22" t="inlineStr">
        <is>
          <t>+39%</t>
        </is>
      </c>
      <c r="G4" s="22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Three-stream revenue build (Core ARR / AI ARR / Services)</t>
        </is>
      </c>
    </row>
    <row r="3">
      <c r="A3" s="2" t="inlineStr">
        <is>
          <t>FY26 base ($M):</t>
        </is>
      </c>
      <c r="B3" t="inlineStr">
        <is>
          <t>Core ARR $8,433  |  AI ARR $400  |  Services $719  |  Total $9,552</t>
        </is>
      </c>
    </row>
    <row r="5">
      <c r="A5" s="3" t="inlineStr">
        <is>
          <t>Good AI</t>
        </is>
      </c>
      <c r="B5" s="11" t="n"/>
      <c r="C5" s="11" t="n"/>
      <c r="D5" s="11" t="n"/>
      <c r="E5" s="11" t="n"/>
      <c r="F5" s="11" t="n"/>
      <c r="G5" s="11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2" t="inlineStr">
        <is>
          <t>Core ARR</t>
        </is>
      </c>
      <c r="B7" s="16" t="n">
        <v>9529</v>
      </c>
      <c r="C7" s="16" t="n">
        <v>10863</v>
      </c>
      <c r="D7" s="16" t="n">
        <v>12493</v>
      </c>
      <c r="E7" s="16" t="n">
        <v>14117</v>
      </c>
    </row>
    <row r="8">
      <c r="A8" s="12" t="inlineStr">
        <is>
          <t>AI ARR booked</t>
        </is>
      </c>
      <c r="B8" s="16" t="n">
        <v>800</v>
      </c>
      <c r="C8" s="16" t="n">
        <v>1440</v>
      </c>
      <c r="D8" s="16" t="n">
        <v>2304</v>
      </c>
      <c r="E8" s="16" t="n">
        <v>3226</v>
      </c>
    </row>
    <row r="9">
      <c r="A9" s="2" t="inlineStr">
        <is>
          <t>AI ARR recognized</t>
        </is>
      </c>
      <c r="B9" s="17" t="n">
        <v>560</v>
      </c>
      <c r="C9" s="17" t="n">
        <v>1200</v>
      </c>
      <c r="D9" s="17" t="n">
        <v>2143</v>
      </c>
      <c r="E9" s="17" t="n">
        <v>3152</v>
      </c>
    </row>
    <row r="10">
      <c r="A10" s="12" t="inlineStr">
        <is>
          <t>AI deferred balance</t>
        </is>
      </c>
      <c r="B10" s="13" t="n">
        <v>240</v>
      </c>
      <c r="C10" s="13" t="n">
        <v>480</v>
      </c>
      <c r="D10" s="13" t="n">
        <v>641</v>
      </c>
      <c r="E10" s="13" t="n">
        <v>714</v>
      </c>
    </row>
    <row r="11">
      <c r="A11" s="12" t="inlineStr">
        <is>
          <t>Services</t>
        </is>
      </c>
      <c r="B11" s="16" t="n">
        <v>712</v>
      </c>
      <c r="C11" s="16" t="n">
        <v>698</v>
      </c>
      <c r="D11" s="16" t="n">
        <v>698</v>
      </c>
      <c r="E11" s="16" t="n">
        <v>712</v>
      </c>
    </row>
    <row r="12">
      <c r="A12" s="2" t="inlineStr">
        <is>
          <t>Total revenue</t>
        </is>
      </c>
      <c r="B12" s="17" t="n">
        <v>10801</v>
      </c>
      <c r="C12" s="17" t="n">
        <v>12761</v>
      </c>
      <c r="D12" s="17" t="n">
        <v>15334</v>
      </c>
      <c r="E12" s="17" t="n">
        <v>17981</v>
      </c>
    </row>
    <row r="13">
      <c r="A13" t="inlineStr">
        <is>
          <t>Core ARR GM %</t>
        </is>
      </c>
      <c r="B13" s="7" t="n">
        <v>0.827</v>
      </c>
      <c r="C13" s="7" t="n">
        <v>0.835</v>
      </c>
      <c r="D13" s="7" t="n">
        <v>0.84</v>
      </c>
      <c r="E13" s="7" t="n">
        <v>0.845</v>
      </c>
    </row>
    <row r="14">
      <c r="A14" t="inlineStr">
        <is>
          <t>AI ARR GM %</t>
        </is>
      </c>
      <c r="B14" s="7" t="n">
        <v>0.5</v>
      </c>
      <c r="C14" s="7" t="n">
        <v>0.55</v>
      </c>
      <c r="D14" s="7" t="n">
        <v>0.6</v>
      </c>
      <c r="E14" s="7" t="n">
        <v>0.65</v>
      </c>
    </row>
    <row r="15">
      <c r="A15" t="inlineStr">
        <is>
          <t>Services GM %</t>
        </is>
      </c>
      <c r="B15" s="7" t="n">
        <v>-0.1</v>
      </c>
      <c r="C15" s="7" t="n">
        <v>-0.08</v>
      </c>
      <c r="D15" s="7" t="n">
        <v>-0.05</v>
      </c>
      <c r="E15" s="7" t="n">
        <v>-0.02</v>
      </c>
    </row>
    <row r="16">
      <c r="A16" t="inlineStr">
        <is>
          <t>Blended GM %</t>
        </is>
      </c>
      <c r="B16" s="7" t="n">
        <v>0.749</v>
      </c>
      <c r="C16" s="7" t="n">
        <v>0.7582</v>
      </c>
      <c r="D16" s="7" t="n">
        <v>0.766</v>
      </c>
      <c r="E16" s="7" t="n">
        <v>0.7766</v>
      </c>
    </row>
    <row r="17">
      <c r="A17" s="12" t="inlineStr">
        <is>
          <t>GP Core ARR</t>
        </is>
      </c>
      <c r="B17" s="13" t="n">
        <v>7881</v>
      </c>
      <c r="C17" s="13" t="n">
        <v>9071</v>
      </c>
      <c r="D17" s="13" t="n">
        <v>10494</v>
      </c>
      <c r="E17" s="13" t="n">
        <v>11929</v>
      </c>
    </row>
    <row r="18">
      <c r="A18" s="12" t="inlineStr">
        <is>
          <t>GP AI ARR</t>
        </is>
      </c>
      <c r="B18" s="13" t="n">
        <v>280</v>
      </c>
      <c r="C18" s="13" t="n">
        <v>660</v>
      </c>
      <c r="D18" s="13" t="n">
        <v>1286</v>
      </c>
      <c r="E18" s="13" t="n">
        <v>2049</v>
      </c>
    </row>
    <row r="19">
      <c r="A19" s="12" t="inlineStr">
        <is>
          <t>GP Services</t>
        </is>
      </c>
      <c r="B19" s="13" t="n">
        <v>-71</v>
      </c>
      <c r="C19" s="13" t="n">
        <v>-56</v>
      </c>
      <c r="D19" s="13" t="n">
        <v>-35</v>
      </c>
      <c r="E19" s="13" t="n">
        <v>-14</v>
      </c>
    </row>
    <row r="20">
      <c r="A20" s="2" t="inlineStr">
        <is>
          <t>Total GP</t>
        </is>
      </c>
      <c r="B20" s="15" t="n">
        <v>8090</v>
      </c>
      <c r="C20" s="15" t="n">
        <v>9675</v>
      </c>
      <c r="D20" s="15" t="n">
        <v>11745</v>
      </c>
      <c r="E20" s="15" t="n">
        <v>13964</v>
      </c>
    </row>
    <row r="22">
      <c r="A22" s="3" t="inlineStr">
        <is>
          <t>Runs For Cash</t>
        </is>
      </c>
      <c r="B22" s="11" t="n"/>
      <c r="C22" s="11" t="n"/>
      <c r="D22" s="11" t="n"/>
      <c r="E22" s="11" t="n"/>
      <c r="F22" s="11" t="n"/>
      <c r="G22" s="11" t="n"/>
    </row>
    <row r="23">
      <c r="A23" s="4" t="inlineStr">
        <is>
          <t>$M unless noted</t>
        </is>
      </c>
      <c r="B23" s="4" t="inlineStr">
        <is>
          <t>FY27</t>
        </is>
      </c>
      <c r="C23" s="4" t="inlineStr">
        <is>
          <t>FY28</t>
        </is>
      </c>
      <c r="D23" s="4" t="inlineStr">
        <is>
          <t>FY29</t>
        </is>
      </c>
      <c r="E23" s="4" t="inlineStr">
        <is>
          <t>FY30</t>
        </is>
      </c>
    </row>
    <row r="24">
      <c r="A24" s="12" t="inlineStr">
        <is>
          <t>Core ARR</t>
        </is>
      </c>
      <c r="B24" s="16" t="n">
        <v>8855</v>
      </c>
      <c r="C24" s="16" t="n">
        <v>8500</v>
      </c>
      <c r="D24" s="16" t="n">
        <v>7650</v>
      </c>
      <c r="E24" s="16" t="n">
        <v>6885</v>
      </c>
    </row>
    <row r="25">
      <c r="A25" s="12" t="inlineStr">
        <is>
          <t>AI ARR booked</t>
        </is>
      </c>
      <c r="B25" s="16" t="n">
        <v>520</v>
      </c>
      <c r="C25" s="16" t="n">
        <v>598</v>
      </c>
      <c r="D25" s="16" t="n">
        <v>628</v>
      </c>
      <c r="E25" s="16" t="n">
        <v>628</v>
      </c>
    </row>
    <row r="26">
      <c r="A26" s="2" t="inlineStr">
        <is>
          <t>AI ARR recognized</t>
        </is>
      </c>
      <c r="B26" s="17" t="n">
        <v>416</v>
      </c>
      <c r="C26" s="17" t="n">
        <v>560</v>
      </c>
      <c r="D26" s="17" t="n">
        <v>662</v>
      </c>
      <c r="E26" s="17" t="n">
        <v>641</v>
      </c>
    </row>
    <row r="27">
      <c r="A27" s="12" t="inlineStr">
        <is>
          <t>AI deferred balance</t>
        </is>
      </c>
      <c r="B27" s="13" t="n">
        <v>104</v>
      </c>
      <c r="C27" s="13" t="n">
        <v>142</v>
      </c>
      <c r="D27" s="13" t="n">
        <v>108</v>
      </c>
      <c r="E27" s="13" t="n">
        <v>94</v>
      </c>
    </row>
    <row r="28">
      <c r="A28" s="12" t="inlineStr">
        <is>
          <t>Services</t>
        </is>
      </c>
      <c r="B28" s="16" t="n">
        <v>697</v>
      </c>
      <c r="C28" s="16" t="n">
        <v>628</v>
      </c>
      <c r="D28" s="16" t="n">
        <v>552</v>
      </c>
      <c r="E28" s="16" t="n">
        <v>486</v>
      </c>
    </row>
    <row r="29">
      <c r="A29" s="2" t="inlineStr">
        <is>
          <t>Total revenue</t>
        </is>
      </c>
      <c r="B29" s="17" t="n">
        <v>9968</v>
      </c>
      <c r="C29" s="17" t="n">
        <v>9688</v>
      </c>
      <c r="D29" s="17" t="n">
        <v>8865</v>
      </c>
      <c r="E29" s="17" t="n">
        <v>8013</v>
      </c>
    </row>
    <row r="30">
      <c r="A30" t="inlineStr">
        <is>
          <t>Core ARR GM %</t>
        </is>
      </c>
      <c r="B30" s="7" t="n">
        <v>0.827</v>
      </c>
      <c r="C30" s="7" t="n">
        <v>0.84</v>
      </c>
      <c r="D30" s="7" t="n">
        <v>0.85</v>
      </c>
      <c r="E30" s="7" t="n">
        <v>0.86</v>
      </c>
    </row>
    <row r="31">
      <c r="A31" t="inlineStr">
        <is>
          <t>AI ARR GM %</t>
        </is>
      </c>
      <c r="B31" s="7" t="n">
        <v>0.45</v>
      </c>
      <c r="C31" s="7" t="n">
        <v>0.45</v>
      </c>
      <c r="D31" s="7" t="n">
        <v>0.45</v>
      </c>
      <c r="E31" s="7" t="n">
        <v>0.45</v>
      </c>
    </row>
    <row r="32">
      <c r="A32" t="inlineStr">
        <is>
          <t>Services GM %</t>
        </is>
      </c>
      <c r="B32" s="7" t="n">
        <v>-0.1</v>
      </c>
      <c r="C32" s="7" t="n">
        <v>-0.12</v>
      </c>
      <c r="D32" s="7" t="n">
        <v>-0.13</v>
      </c>
      <c r="E32" s="7" t="n">
        <v>-0.15</v>
      </c>
    </row>
    <row r="33">
      <c r="A33" t="inlineStr">
        <is>
          <t>Blended GM %</t>
        </is>
      </c>
      <c r="B33" s="7" t="n">
        <v>0.7464</v>
      </c>
      <c r="C33" s="7" t="n">
        <v>0.7552</v>
      </c>
      <c r="D33" s="7" t="n">
        <v>0.7591</v>
      </c>
      <c r="E33" s="7" t="n">
        <v>0.7659</v>
      </c>
    </row>
    <row r="34">
      <c r="A34" s="12" t="inlineStr">
        <is>
          <t>GP Core ARR</t>
        </is>
      </c>
      <c r="B34" s="13" t="n">
        <v>7323</v>
      </c>
      <c r="C34" s="13" t="n">
        <v>7140</v>
      </c>
      <c r="D34" s="13" t="n">
        <v>6503</v>
      </c>
      <c r="E34" s="13" t="n">
        <v>5921</v>
      </c>
    </row>
    <row r="35">
      <c r="A35" s="12" t="inlineStr">
        <is>
          <t>GP AI ARR</t>
        </is>
      </c>
      <c r="B35" s="13" t="n">
        <v>187</v>
      </c>
      <c r="C35" s="13" t="n">
        <v>252</v>
      </c>
      <c r="D35" s="13" t="n">
        <v>298</v>
      </c>
      <c r="E35" s="13" t="n">
        <v>289</v>
      </c>
    </row>
    <row r="36">
      <c r="A36" s="12" t="inlineStr">
        <is>
          <t>GP Services</t>
        </is>
      </c>
      <c r="B36" s="13" t="n">
        <v>-70</v>
      </c>
      <c r="C36" s="13" t="n">
        <v>-75</v>
      </c>
      <c r="D36" s="13" t="n">
        <v>-72</v>
      </c>
      <c r="E36" s="13" t="n">
        <v>-73</v>
      </c>
    </row>
    <row r="37">
      <c r="A37" s="2" t="inlineStr">
        <is>
          <t>Total GP</t>
        </is>
      </c>
      <c r="B37" s="15" t="n">
        <v>7440</v>
      </c>
      <c r="C37" s="15" t="n">
        <v>7317</v>
      </c>
      <c r="D37" s="15" t="n">
        <v>6729</v>
      </c>
      <c r="E37" s="15" t="n">
        <v>6137</v>
      </c>
    </row>
    <row r="39">
      <c r="A39" s="3" t="inlineStr">
        <is>
          <t>What Goes Wrong</t>
        </is>
      </c>
      <c r="B39" s="11" t="n"/>
      <c r="C39" s="11" t="n"/>
      <c r="D39" s="11" t="n"/>
      <c r="E39" s="11" t="n"/>
      <c r="F39" s="11" t="n"/>
      <c r="G39" s="11" t="n"/>
    </row>
    <row r="40">
      <c r="A40" s="4" t="inlineStr">
        <is>
          <t>$M unless noted</t>
        </is>
      </c>
      <c r="B40" s="4" t="inlineStr">
        <is>
          <t>FY27</t>
        </is>
      </c>
      <c r="C40" s="4" t="inlineStr">
        <is>
          <t>FY28</t>
        </is>
      </c>
      <c r="D40" s="4" t="inlineStr">
        <is>
          <t>FY29</t>
        </is>
      </c>
      <c r="E40" s="4" t="inlineStr">
        <is>
          <t>FY30</t>
        </is>
      </c>
    </row>
    <row r="41">
      <c r="A41" s="12" t="inlineStr">
        <is>
          <t>Core ARR</t>
        </is>
      </c>
      <c r="B41" s="16" t="n">
        <v>8011</v>
      </c>
      <c r="C41" s="16" t="n">
        <v>7210</v>
      </c>
      <c r="D41" s="16" t="n">
        <v>6417</v>
      </c>
      <c r="E41" s="16" t="n">
        <v>5775</v>
      </c>
    </row>
    <row r="42">
      <c r="A42" s="12" t="inlineStr">
        <is>
          <t>AI ARR booked</t>
        </is>
      </c>
      <c r="B42" s="16" t="n">
        <v>480</v>
      </c>
      <c r="C42" s="16" t="n">
        <v>528</v>
      </c>
      <c r="D42" s="16" t="n">
        <v>554</v>
      </c>
      <c r="E42" s="16" t="n">
        <v>554</v>
      </c>
    </row>
    <row r="43">
      <c r="A43" s="2" t="inlineStr">
        <is>
          <t>AI ARR recognized</t>
        </is>
      </c>
      <c r="B43" s="17" t="n">
        <v>408</v>
      </c>
      <c r="C43" s="17" t="n">
        <v>511</v>
      </c>
      <c r="D43" s="17" t="n">
        <v>589</v>
      </c>
      <c r="E43" s="17" t="n">
        <v>567</v>
      </c>
    </row>
    <row r="44">
      <c r="A44" s="12" t="inlineStr">
        <is>
          <t>AI deferred balance</t>
        </is>
      </c>
      <c r="B44" s="13" t="n">
        <v>72</v>
      </c>
      <c r="C44" s="13" t="n">
        <v>89</v>
      </c>
      <c r="D44" s="13" t="n">
        <v>54</v>
      </c>
      <c r="E44" s="13" t="n">
        <v>42</v>
      </c>
    </row>
    <row r="45">
      <c r="A45" s="12" t="inlineStr">
        <is>
          <t>Services</t>
        </is>
      </c>
      <c r="B45" s="16" t="n">
        <v>647</v>
      </c>
      <c r="C45" s="16" t="n">
        <v>550</v>
      </c>
      <c r="D45" s="16" t="n">
        <v>468</v>
      </c>
      <c r="E45" s="16" t="n">
        <v>411</v>
      </c>
    </row>
    <row r="46">
      <c r="A46" s="2" t="inlineStr">
        <is>
          <t>Total revenue</t>
        </is>
      </c>
      <c r="B46" s="17" t="n">
        <v>9066</v>
      </c>
      <c r="C46" s="17" t="n">
        <v>8271</v>
      </c>
      <c r="D46" s="17" t="n">
        <v>7474</v>
      </c>
      <c r="E46" s="17" t="n">
        <v>6754</v>
      </c>
    </row>
    <row r="47">
      <c r="A47" t="inlineStr">
        <is>
          <t>Core ARR GM %</t>
        </is>
      </c>
      <c r="B47" s="7" t="n">
        <v>0.827</v>
      </c>
      <c r="C47" s="7" t="n">
        <v>0.83</v>
      </c>
      <c r="D47" s="7" t="n">
        <v>0.835</v>
      </c>
      <c r="E47" s="7" t="n">
        <v>0.84</v>
      </c>
    </row>
    <row r="48">
      <c r="A48" t="inlineStr">
        <is>
          <t>AI ARR GM %</t>
        </is>
      </c>
      <c r="B48" s="7" t="n">
        <v>0.4</v>
      </c>
      <c r="C48" s="7" t="n">
        <v>0.4</v>
      </c>
      <c r="D48" s="7" t="n">
        <v>0.4</v>
      </c>
      <c r="E48" s="7" t="n">
        <v>0.4</v>
      </c>
    </row>
    <row r="49">
      <c r="A49" t="inlineStr">
        <is>
          <t>Services GM %</t>
        </is>
      </c>
      <c r="B49" s="7" t="n">
        <v>-0.1</v>
      </c>
      <c r="C49" s="7" t="n">
        <v>-0.13</v>
      </c>
      <c r="D49" s="7" t="n">
        <v>-0.16</v>
      </c>
      <c r="E49" s="7" t="n">
        <v>-0.18</v>
      </c>
    </row>
    <row r="50">
      <c r="A50" t="inlineStr">
        <is>
          <t>Blended GM %</t>
        </is>
      </c>
      <c r="B50" s="7" t="n">
        <v>0.7416</v>
      </c>
      <c r="C50" s="7" t="n">
        <v>0.7396</v>
      </c>
      <c r="D50" s="7" t="n">
        <v>0.7385</v>
      </c>
      <c r="E50" s="7" t="n">
        <v>0.7409</v>
      </c>
    </row>
    <row r="51">
      <c r="A51" s="12" t="inlineStr">
        <is>
          <t>GP Core ARR</t>
        </is>
      </c>
      <c r="B51" s="13" t="n">
        <v>6625</v>
      </c>
      <c r="C51" s="13" t="n">
        <v>5984</v>
      </c>
      <c r="D51" s="13" t="n">
        <v>5358</v>
      </c>
      <c r="E51" s="13" t="n">
        <v>4851</v>
      </c>
    </row>
    <row r="52">
      <c r="A52" s="12" t="inlineStr">
        <is>
          <t>GP AI ARR</t>
        </is>
      </c>
      <c r="B52" s="13" t="n">
        <v>163</v>
      </c>
      <c r="C52" s="13" t="n">
        <v>204</v>
      </c>
      <c r="D52" s="13" t="n">
        <v>236</v>
      </c>
      <c r="E52" s="13" t="n">
        <v>227</v>
      </c>
    </row>
    <row r="53">
      <c r="A53" s="12" t="inlineStr">
        <is>
          <t>GP Services</t>
        </is>
      </c>
      <c r="B53" s="13" t="n">
        <v>-65</v>
      </c>
      <c r="C53" s="13" t="n">
        <v>-72</v>
      </c>
      <c r="D53" s="13" t="n">
        <v>-75</v>
      </c>
      <c r="E53" s="13" t="n">
        <v>-74</v>
      </c>
    </row>
    <row r="54">
      <c r="A54" s="2" t="inlineStr">
        <is>
          <t>Total GP</t>
        </is>
      </c>
      <c r="B54" s="15" t="n">
        <v>6724</v>
      </c>
      <c r="C54" s="15" t="n">
        <v>6117</v>
      </c>
      <c r="D54" s="15" t="n">
        <v>5519</v>
      </c>
      <c r="E54" s="15" t="n">
        <v>5004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1" t="n"/>
      <c r="C5" s="11" t="n"/>
      <c r="D5" s="11" t="n"/>
      <c r="E5" s="11" t="n"/>
      <c r="F5" s="11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2" t="inlineStr">
        <is>
          <t>Booked growth %</t>
        </is>
      </c>
      <c r="B7" s="7" t="n">
        <v>1</v>
      </c>
      <c r="C7" s="7" t="n">
        <v>0.8</v>
      </c>
      <c r="D7" s="7" t="n">
        <v>0.6</v>
      </c>
      <c r="E7" s="7" t="n">
        <v>0.4</v>
      </c>
    </row>
    <row r="8">
      <c r="A8" s="12" t="inlineStr">
        <is>
          <t>Deferred fraction %</t>
        </is>
      </c>
      <c r="B8" s="7" t="n">
        <v>0.3</v>
      </c>
      <c r="C8" s="7" t="n">
        <v>0.25</v>
      </c>
      <c r="D8" s="7" t="n">
        <v>0.2</v>
      </c>
      <c r="E8" s="7" t="n">
        <v>0.15</v>
      </c>
    </row>
    <row r="9">
      <c r="A9" s="12" t="inlineStr">
        <is>
          <t>AI ARR booked ($M)</t>
        </is>
      </c>
      <c r="B9" s="16" t="n">
        <v>800</v>
      </c>
      <c r="C9" s="16" t="n">
        <v>1440</v>
      </c>
      <c r="D9" s="16" t="n">
        <v>2304</v>
      </c>
      <c r="E9" s="16" t="n">
        <v>3226</v>
      </c>
    </row>
    <row r="10">
      <c r="A10" s="2" t="inlineStr">
        <is>
          <t>AI ARR recognized ($M)</t>
        </is>
      </c>
      <c r="B10" s="17" t="n">
        <v>560</v>
      </c>
      <c r="C10" s="17" t="n">
        <v>1200</v>
      </c>
      <c r="D10" s="17" t="n">
        <v>2143</v>
      </c>
      <c r="E10" s="17" t="n">
        <v>3152</v>
      </c>
    </row>
    <row r="11">
      <c r="A11" s="12" t="inlineStr">
        <is>
          <t>Deferred balance ($M)</t>
        </is>
      </c>
      <c r="B11" s="13" t="n">
        <v>240</v>
      </c>
      <c r="C11" s="13" t="n">
        <v>480</v>
      </c>
      <c r="D11" s="13" t="n">
        <v>641</v>
      </c>
      <c r="E11" s="13" t="n">
        <v>714</v>
      </c>
    </row>
    <row r="12">
      <c r="A12" s="12" t="inlineStr">
        <is>
          <t>Booked − Recognized</t>
        </is>
      </c>
      <c r="B12" s="27" t="n">
        <v>240</v>
      </c>
      <c r="C12" s="27" t="n">
        <v>240</v>
      </c>
      <c r="D12" s="27" t="n">
        <v>161</v>
      </c>
      <c r="E12" s="27" t="n">
        <v>74</v>
      </c>
    </row>
    <row r="14">
      <c r="A14" s="3" t="inlineStr">
        <is>
          <t>Runs For Cash</t>
        </is>
      </c>
      <c r="B14" s="11" t="n"/>
      <c r="C14" s="11" t="n"/>
      <c r="D14" s="11" t="n"/>
      <c r="E14" s="11" t="n"/>
      <c r="F14" s="11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2" t="inlineStr">
        <is>
          <t>Booked growth %</t>
        </is>
      </c>
      <c r="B16" s="7" t="n">
        <v>0.3</v>
      </c>
      <c r="C16" s="7" t="n">
        <v>0.15</v>
      </c>
      <c r="D16" s="7" t="n">
        <v>0.05</v>
      </c>
      <c r="E16" s="7" t="n">
        <v>0</v>
      </c>
    </row>
    <row r="17">
      <c r="A17" s="12" t="inlineStr">
        <is>
          <t>Deferred fraction %</t>
        </is>
      </c>
      <c r="B17" s="7" t="n">
        <v>0.2</v>
      </c>
      <c r="C17" s="7" t="n">
        <v>0.15</v>
      </c>
      <c r="D17" s="7" t="n">
        <v>0.1</v>
      </c>
      <c r="E17" s="7" t="n">
        <v>0.1</v>
      </c>
    </row>
    <row r="18">
      <c r="A18" s="12" t="inlineStr">
        <is>
          <t>AI ARR booked ($M)</t>
        </is>
      </c>
      <c r="B18" s="16" t="n">
        <v>520</v>
      </c>
      <c r="C18" s="16" t="n">
        <v>598</v>
      </c>
      <c r="D18" s="16" t="n">
        <v>628</v>
      </c>
      <c r="E18" s="16" t="n">
        <v>628</v>
      </c>
    </row>
    <row r="19">
      <c r="A19" s="2" t="inlineStr">
        <is>
          <t>AI ARR recognized ($M)</t>
        </is>
      </c>
      <c r="B19" s="17" t="n">
        <v>416</v>
      </c>
      <c r="C19" s="17" t="n">
        <v>560</v>
      </c>
      <c r="D19" s="17" t="n">
        <v>662</v>
      </c>
      <c r="E19" s="17" t="n">
        <v>641</v>
      </c>
    </row>
    <row r="20">
      <c r="A20" s="12" t="inlineStr">
        <is>
          <t>Deferred balance ($M)</t>
        </is>
      </c>
      <c r="B20" s="13" t="n">
        <v>104</v>
      </c>
      <c r="C20" s="13" t="n">
        <v>142</v>
      </c>
      <c r="D20" s="13" t="n">
        <v>108</v>
      </c>
      <c r="E20" s="13" t="n">
        <v>94</v>
      </c>
    </row>
    <row r="21">
      <c r="A21" s="12" t="inlineStr">
        <is>
          <t>Booked − Recognized</t>
        </is>
      </c>
      <c r="B21" s="27" t="n">
        <v>104</v>
      </c>
      <c r="C21" s="27" t="n">
        <v>38</v>
      </c>
      <c r="D21" s="27" t="n">
        <v>-34</v>
      </c>
      <c r="E21" s="27" t="n">
        <v>-13</v>
      </c>
    </row>
    <row r="23">
      <c r="A23" s="3" t="inlineStr">
        <is>
          <t>What Goes Wrong</t>
        </is>
      </c>
      <c r="B23" s="11" t="n"/>
      <c r="C23" s="11" t="n"/>
      <c r="D23" s="11" t="n"/>
      <c r="E23" s="11" t="n"/>
      <c r="F23" s="11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2" t="inlineStr">
        <is>
          <t>Booked growth %</t>
        </is>
      </c>
      <c r="B25" s="7" t="n">
        <v>0.2</v>
      </c>
      <c r="C25" s="7" t="n">
        <v>0.1</v>
      </c>
      <c r="D25" s="7" t="n">
        <v>0.05</v>
      </c>
      <c r="E25" s="7" t="n">
        <v>0</v>
      </c>
    </row>
    <row r="26">
      <c r="A26" s="12" t="inlineStr">
        <is>
          <t>Deferred fraction %</t>
        </is>
      </c>
      <c r="B26" s="7" t="n">
        <v>0.15</v>
      </c>
      <c r="C26" s="7" t="n">
        <v>0.1</v>
      </c>
      <c r="D26" s="7" t="n">
        <v>0.05</v>
      </c>
      <c r="E26" s="7" t="n">
        <v>0.05</v>
      </c>
    </row>
    <row r="27">
      <c r="A27" s="12" t="inlineStr">
        <is>
          <t>AI ARR booked ($M)</t>
        </is>
      </c>
      <c r="B27" s="16" t="n">
        <v>480</v>
      </c>
      <c r="C27" s="16" t="n">
        <v>528</v>
      </c>
      <c r="D27" s="16" t="n">
        <v>554</v>
      </c>
      <c r="E27" s="16" t="n">
        <v>554</v>
      </c>
    </row>
    <row r="28">
      <c r="A28" s="2" t="inlineStr">
        <is>
          <t>AI ARR recognized ($M)</t>
        </is>
      </c>
      <c r="B28" s="17" t="n">
        <v>408</v>
      </c>
      <c r="C28" s="17" t="n">
        <v>511</v>
      </c>
      <c r="D28" s="17" t="n">
        <v>589</v>
      </c>
      <c r="E28" s="17" t="n">
        <v>567</v>
      </c>
    </row>
    <row r="29">
      <c r="A29" s="12" t="inlineStr">
        <is>
          <t>Deferred balance ($M)</t>
        </is>
      </c>
      <c r="B29" s="13" t="n">
        <v>72</v>
      </c>
      <c r="C29" s="13" t="n">
        <v>89</v>
      </c>
      <c r="D29" s="13" t="n">
        <v>54</v>
      </c>
      <c r="E29" s="13" t="n">
        <v>42</v>
      </c>
    </row>
    <row r="30">
      <c r="A30" s="12" t="inlineStr">
        <is>
          <t>Booked − Recognized</t>
        </is>
      </c>
      <c r="B30" s="27" t="n">
        <v>72</v>
      </c>
      <c r="C30" s="27" t="n">
        <v>17</v>
      </c>
      <c r="D30" s="27" t="n">
        <v>-35</v>
      </c>
      <c r="E30" s="27" t="n">
        <v>-13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2026-05-20T16:33:49Z</dcterms:created>
  <dcterms:modified xmlns:dcterms="http://purl.org/dc/terms/" xmlns:xsi="http://www.w3.org/2001/XMLSchema-instance" xsi:type="dcterms:W3CDTF">2026-05-20T16:33:49Z</dcterms:modified>
</cp:coreProperties>
</file>